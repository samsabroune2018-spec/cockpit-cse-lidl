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" sheetId="1" state="visible" r:id="rId1"/>
    <sheet xmlns:r="http://schemas.openxmlformats.org/officeDocument/2006/relationships" name="PLAN TRÉSO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RÉALISÉ" sheetId="4" state="visible" r:id="rId4"/>
    <sheet xmlns:r="http://schemas.openxmlformats.org/officeDocument/2006/relationships" name="ALERTES" sheetId="5" state="visible" r:id="rId5"/>
    <sheet xmlns:r="http://schemas.openxmlformats.org/officeDocument/2006/relationships" name="MODE D'EMPL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 €;(# ##0 €);&quot;-&quot;"/>
    <numFmt numFmtId="165" formatCode="0.0%;-0.0%;&quot;- %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70C0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i val="1"/>
      <color rgb="000070C0"/>
      <sz val="9"/>
    </font>
    <font>
      <name val="Arial"/>
      <color rgb="00FFFFFF"/>
      <sz val="10"/>
    </font>
    <font>
      <name val="Arial"/>
      <b val="1"/>
      <color rgb="000070C0"/>
      <sz val="9"/>
    </font>
    <font>
      <name val="Arial"/>
      <b val="1"/>
      <color rgb="001E5631"/>
      <sz val="9"/>
    </font>
    <font>
      <name val="Arial"/>
      <b val="1"/>
      <color rgb="00FFFFFF"/>
      <sz val="14"/>
    </font>
    <font>
      <name val="Arial"/>
      <b val="1"/>
      <color rgb="001F3864"/>
      <sz val="8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9"/>
    </font>
    <font>
      <name val="Arial"/>
      <b val="1"/>
      <color rgb="00FFFFFF"/>
      <sz val="15"/>
    </font>
    <font>
      <name val="Arial"/>
      <b val="1"/>
      <color rgb="00FFFFFF"/>
      <sz val="18"/>
    </font>
    <font>
      <name val="Arial"/>
      <i val="1"/>
      <color rgb="00FFFFFF"/>
      <sz val="8"/>
    </font>
    <font>
      <name val="Arial"/>
      <color rgb="00FFFFFF"/>
      <sz val="9"/>
    </font>
    <font>
      <name val="Arial"/>
      <i val="1"/>
      <color rgb="00595959"/>
      <sz val="8"/>
    </font>
    <font>
      <name val="Arial"/>
      <b val="1"/>
      <color rgb="001F3864"/>
      <sz val="9"/>
    </font>
    <font>
      <name val="Arial"/>
      <color rgb="001E5631"/>
      <sz val="9"/>
    </font>
    <font>
      <name val="Arial"/>
      <color rgb="00C00000"/>
      <sz val="9"/>
    </font>
    <font>
      <name val="Arial"/>
      <b val="1"/>
      <color rgb="00C55A11"/>
      <sz val="10"/>
    </font>
    <font>
      <name val="Arial"/>
      <color rgb="00000000"/>
      <sz val="12"/>
    </font>
    <font>
      <name val="Arial"/>
      <b val="1"/>
      <color rgb="00C00000"/>
      <sz val="9"/>
    </font>
    <font>
      <name val="Arial"/>
      <color rgb="00595959"/>
      <sz val="8"/>
    </font>
    <font>
      <name val="Arial"/>
      <color rgb="001F3864"/>
      <sz val="9"/>
    </font>
    <font>
      <name val="Arial"/>
      <b val="1"/>
      <color rgb="002E74B5"/>
      <sz val="10"/>
    </font>
    <font>
      <name val="Arial"/>
      <i val="1"/>
      <color rgb="00595959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E8F5E9"/>
      </patternFill>
    </fill>
    <fill>
      <patternFill patternType="solid">
        <fgColor rgb="001F5C5C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FF6666"/>
      </patternFill>
    </fill>
    <fill>
      <patternFill patternType="solid">
        <fgColor rgb="00FFD7D7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bottom style="thin">
        <color rgb="00DDDDDD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E5631"/>
      </left>
      <right style="medium">
        <color rgb="001E5631"/>
      </right>
      <top style="medium">
        <color rgb="001E5631"/>
      </top>
      <bottom style="medium">
        <color rgb="001E5631"/>
      </bottom>
    </border>
    <border>
      <right style="thin">
        <color rgb="00DDDDDD"/>
      </right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8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4" fillId="2" borderId="7" applyAlignment="1" pivotButton="0" quotePrefix="0" xfId="0">
      <alignment horizontal="right" vertical="center"/>
    </xf>
    <xf numFmtId="164" fontId="21" fillId="2" borderId="7" applyAlignment="1" pivotButton="0" quotePrefix="0" xfId="0">
      <alignment horizontal="right" vertical="center"/>
    </xf>
    <xf numFmtId="165" fontId="21" fillId="2" borderId="7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0" fillId="0" borderId="10" pivotButton="0" quotePrefix="0" xfId="0"/>
    <xf numFmtId="0" fontId="22" fillId="2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164" fontId="17" fillId="6" borderId="7" applyAlignment="1" pivotButton="0" quotePrefix="0" xfId="0">
      <alignment horizontal="right" vertical="center"/>
    </xf>
    <xf numFmtId="165" fontId="17" fillId="6" borderId="7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164" fontId="17" fillId="4" borderId="7" applyAlignment="1" pivotButton="0" quotePrefix="0" xfId="0">
      <alignment horizontal="right" vertical="center"/>
    </xf>
    <xf numFmtId="165" fontId="17" fillId="4" borderId="7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14" fillId="8" borderId="7" applyAlignment="1" pivotButton="0" quotePrefix="0" xfId="0">
      <alignment horizontal="center" vertical="center"/>
    </xf>
    <xf numFmtId="0" fontId="14" fillId="7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164" fontId="23" fillId="5" borderId="7" applyAlignment="1" pivotButton="0" quotePrefix="0" xfId="0">
      <alignment horizontal="right" vertical="center"/>
    </xf>
    <xf numFmtId="164" fontId="7" fillId="6" borderId="7" applyAlignment="1" pivotButton="0" quotePrefix="0" xfId="0">
      <alignment horizontal="right" vertical="center"/>
    </xf>
    <xf numFmtId="0" fontId="24" fillId="6" borderId="0" applyAlignment="1" pivotButton="0" quotePrefix="0" xfId="0">
      <alignment horizontal="left" vertical="center"/>
    </xf>
    <xf numFmtId="164" fontId="24" fillId="4" borderId="7" applyAlignment="1" pivotButton="0" quotePrefix="0" xfId="0">
      <alignment horizontal="right" vertical="center"/>
    </xf>
    <xf numFmtId="164" fontId="24" fillId="6" borderId="7" applyAlignment="1" pivotButton="0" quotePrefix="0" xfId="0">
      <alignment horizontal="right" vertical="center"/>
    </xf>
    <xf numFmtId="0" fontId="25" fillId="6" borderId="0" applyAlignment="1" pivotButton="0" quotePrefix="0" xfId="0">
      <alignment horizontal="left" vertical="center"/>
    </xf>
    <xf numFmtId="164" fontId="25" fillId="4" borderId="7" applyAlignment="1" pivotButton="0" quotePrefix="0" xfId="0">
      <alignment horizontal="right" vertical="center"/>
    </xf>
    <xf numFmtId="164" fontId="25" fillId="6" borderId="7" applyAlignment="1" pivotButton="0" quotePrefix="0" xfId="0">
      <alignment horizontal="right" vertical="center"/>
    </xf>
    <xf numFmtId="0" fontId="15" fillId="16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left" vertical="center"/>
    </xf>
    <xf numFmtId="0" fontId="27" fillId="4" borderId="7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16" fillId="2" borderId="0" applyAlignment="1" pivotButton="0" quotePrefix="0" xfId="0">
      <alignment horizontal="right" vertical="center"/>
    </xf>
    <xf numFmtId="164" fontId="16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6" applyAlignment="1" pivotButton="0" quotePrefix="0" xfId="0">
      <alignment horizontal="right" vertical="center"/>
    </xf>
    <xf numFmtId="164" fontId="7" fillId="6" borderId="6" applyAlignment="1" pivotButton="0" quotePrefix="0" xfId="0">
      <alignment horizontal="right" vertical="center"/>
    </xf>
    <xf numFmtId="165" fontId="7" fillId="6" borderId="6" applyAlignment="1" pivotButton="0" quotePrefix="0" xfId="0">
      <alignment horizontal="right" vertical="center"/>
    </xf>
    <xf numFmtId="0" fontId="17" fillId="6" borderId="2" applyAlignment="1" pivotButton="0" quotePrefix="0" xfId="0">
      <alignment horizontal="center" vertical="center"/>
    </xf>
    <xf numFmtId="164" fontId="17" fillId="4" borderId="2" applyAlignment="1" pivotButton="0" quotePrefix="0" xfId="0">
      <alignment horizontal="right" vertical="center"/>
    </xf>
    <xf numFmtId="164" fontId="7" fillId="6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left" vertical="center"/>
    </xf>
    <xf numFmtId="164" fontId="7" fillId="8" borderId="6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164" fontId="7" fillId="7" borderId="6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164" fontId="5" fillId="6" borderId="6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/>
    </xf>
    <xf numFmtId="164" fontId="3" fillId="2" borderId="2" applyAlignment="1" pivotButton="0" quotePrefix="0" xfId="0">
      <alignment horizontal="right" vertical="center"/>
    </xf>
    <xf numFmtId="164" fontId="10" fillId="2" borderId="0" applyAlignment="1" pivotButton="0" quotePrefix="0" xfId="0">
      <alignment horizontal="right" vertical="center"/>
    </xf>
    <xf numFmtId="0" fontId="3" fillId="9" borderId="2" applyAlignment="1" pivotButton="0" quotePrefix="0" xfId="0">
      <alignment horizontal="left" vertical="center"/>
    </xf>
    <xf numFmtId="164" fontId="3" fillId="9" borderId="2" applyAlignment="1" pivotButton="0" quotePrefix="0" xfId="0">
      <alignment horizontal="right" vertical="center"/>
    </xf>
    <xf numFmtId="164" fontId="10" fillId="9" borderId="0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164" fontId="12" fillId="11" borderId="3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4" fontId="3" fillId="2" borderId="3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4" fontId="3" fillId="3" borderId="3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4" fontId="8" fillId="7" borderId="4" applyAlignment="1" pivotButton="0" quotePrefix="0" xfId="0">
      <alignment horizontal="right" vertical="center"/>
    </xf>
    <xf numFmtId="0" fontId="1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18" borderId="7" applyAlignment="1" pivotButton="0" quotePrefix="0" xfId="0">
      <alignment horizontal="center" vertical="center"/>
    </xf>
    <xf numFmtId="0" fontId="8" fillId="18" borderId="7" applyAlignment="1" pivotButton="0" quotePrefix="0" xfId="0">
      <alignment horizontal="center" vertical="center"/>
    </xf>
    <xf numFmtId="0" fontId="17" fillId="18" borderId="7" applyAlignment="1" pivotButton="0" quotePrefix="0" xfId="0">
      <alignment horizontal="left" vertical="center"/>
    </xf>
    <xf numFmtId="164" fontId="17" fillId="18" borderId="7" applyAlignment="1" pivotButton="0" quotePrefix="0" xfId="0">
      <alignment horizontal="right" vertical="center"/>
    </xf>
    <xf numFmtId="164" fontId="28" fillId="18" borderId="7" applyAlignment="1" pivotButton="0" quotePrefix="0" xfId="0">
      <alignment horizontal="right" vertical="center"/>
    </xf>
    <xf numFmtId="0" fontId="29" fillId="18" borderId="7" applyAlignment="1" pivotButton="0" quotePrefix="0" xfId="0">
      <alignment horizontal="left" vertical="center" wrapText="1"/>
    </xf>
    <xf numFmtId="0" fontId="7" fillId="19" borderId="7" applyAlignment="1" pivotButton="0" quotePrefix="0" xfId="0">
      <alignment horizontal="center" vertical="center"/>
    </xf>
    <xf numFmtId="0" fontId="8" fillId="19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left" vertical="center"/>
    </xf>
    <xf numFmtId="164" fontId="17" fillId="19" borderId="7" applyAlignment="1" pivotButton="0" quotePrefix="0" xfId="0">
      <alignment horizontal="right" vertical="center"/>
    </xf>
    <xf numFmtId="0" fontId="29" fillId="19" borderId="7" applyAlignment="1" pivotButton="0" quotePrefix="0" xfId="0">
      <alignment horizontal="left" vertical="center" wrapText="1"/>
    </xf>
    <xf numFmtId="0" fontId="7" fillId="7" borderId="7" applyAlignment="1" pivotButton="0" quotePrefix="0" xfId="0">
      <alignment horizontal="center" vertical="center"/>
    </xf>
    <xf numFmtId="0" fontId="8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164" fontId="17" fillId="7" borderId="7" applyAlignment="1" pivotButton="0" quotePrefix="0" xfId="0">
      <alignment horizontal="right" vertical="center"/>
    </xf>
    <xf numFmtId="0" fontId="29" fillId="7" borderId="7" applyAlignment="1" pivotButton="0" quotePrefix="0" xfId="0">
      <alignment horizontal="left" vertical="center" wrapText="1"/>
    </xf>
    <xf numFmtId="0" fontId="7" fillId="11" borderId="7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17" fillId="11" borderId="7" applyAlignment="1" pivotButton="0" quotePrefix="0" xfId="0">
      <alignment horizontal="left" vertical="center"/>
    </xf>
    <xf numFmtId="164" fontId="17" fillId="11" borderId="7" applyAlignment="1" pivotButton="0" quotePrefix="0" xfId="0">
      <alignment horizontal="right" vertical="center"/>
    </xf>
    <xf numFmtId="0" fontId="29" fillId="11" borderId="7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30" fillId="7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color rgb="00C00000"/>
        <sz val="9"/>
      </font>
      <fill>
        <patternFill patternType="solid">
          <fgColor rgb="00FFD7D7"/>
        </patternFill>
      </fill>
    </dxf>
    <dxf>
      <font>
        <name val="Arial"/>
        <color rgb="001E5631"/>
        <sz val="9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38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8" customWidth="1" min="3" max="3"/>
    <col width="4" customWidth="1" min="4" max="4"/>
    <col width="18" customWidth="1" min="5" max="5"/>
    <col width="4" customWidth="1" min="6" max="6"/>
    <col width="18" customWidth="1" min="7" max="7"/>
    <col width="4" customWidth="1" min="8" max="8"/>
    <col width="18" customWidth="1" min="9" max="9"/>
    <col width="4" customWidth="1" min="10" max="10"/>
    <col width="18" customWidth="1" min="11" max="11"/>
    <col width="4" customWidth="1" min="12" max="12"/>
    <col width="18" customWidth="1" min="13" max="13"/>
    <col width="1.5" customWidth="1" min="14" max="14"/>
  </cols>
  <sheetData>
    <row r="1" ht="40" customHeight="1">
      <c r="C1" s="1" t="inlineStr">
        <is>
          <t>🏢   COCKPIT DE PILOTAGE TRÉSORERIE  ·  CSE LIDL ENTZHEIM  ·  Exercice Mars 2026 – Février 2027</t>
        </is>
      </c>
    </row>
    <row r="2" ht="16" customHeight="1">
      <c r="C2" s="2" t="inlineStr">
        <is>
          <t xml:space="preserve">   Suivi budgétaire mensuel | Mise à jour : Juin 2026  |  Données source : Pennylane</t>
        </is>
      </c>
    </row>
    <row r="3" ht="8" customHeight="1">
      <c r="C3" s="3" t="inlineStr"/>
    </row>
    <row r="4" ht="18" customHeight="1">
      <c r="C4" s="4" t="inlineStr">
        <is>
          <t>💰 Trésorerie actuelle</t>
        </is>
      </c>
      <c r="E4" s="5" t="inlineStr">
        <is>
          <t>📈 Projection fin exercice</t>
        </is>
      </c>
      <c r="G4" s="6" t="inlineStr">
        <is>
          <t>📋 Budget total annuel</t>
        </is>
      </c>
      <c r="I4" s="7" t="inlineStr">
        <is>
          <t>✅ Réalisé cumulé dépenses</t>
        </is>
      </c>
      <c r="K4" s="8" t="inlineStr">
        <is>
          <t>⏳ Reste à consommer</t>
        </is>
      </c>
      <c r="M4" s="9" t="inlineStr">
        <is>
          <t>📅 Mois réalisés</t>
        </is>
      </c>
    </row>
    <row r="5" ht="32" customHeight="1">
      <c r="C5" s="10" t="inlineStr">
        <is>
          <t>470 450 €</t>
        </is>
      </c>
      <c r="E5" s="11" t="inlineStr">
        <is>
          <t>458 455 €</t>
        </is>
      </c>
      <c r="G5" s="12" t="inlineStr">
        <is>
          <t>13 000 €</t>
        </is>
      </c>
      <c r="I5" s="13" t="inlineStr">
        <is>
          <t>47 783 €</t>
        </is>
      </c>
      <c r="K5" s="14" t="inlineStr">
        <is>
          <t>0 €</t>
        </is>
      </c>
      <c r="M5" s="15" t="inlineStr">
        <is>
          <t>3 / 12</t>
        </is>
      </c>
    </row>
    <row r="6" ht="15" customHeight="1">
      <c r="C6" s="16" t="inlineStr">
        <is>
          <t>Fin mai 2026 (dernier réalisé)</t>
        </is>
      </c>
      <c r="E6" s="17" t="inlineStr">
        <is>
          <t>Feb 2027 (Pennylane)</t>
        </is>
      </c>
      <c r="G6" s="18" t="inlineStr">
        <is>
          <t>Saisir le budget complet →</t>
        </is>
      </c>
      <c r="I6" s="19" t="inlineStr">
        <is>
          <t>Mars → Juin 2026</t>
        </is>
      </c>
      <c r="K6" s="20" t="inlineStr">
        <is>
          <t>À compléter après saisie budget</t>
        </is>
      </c>
      <c r="M6" s="21" t="inlineStr">
        <is>
          <t>Mars, Avril, Mai 2026</t>
        </is>
      </c>
    </row>
    <row r="7" ht="5" customHeight="1">
      <c r="C7" s="22" t="inlineStr"/>
      <c r="E7" s="22" t="inlineStr"/>
      <c r="G7" s="22" t="inlineStr"/>
      <c r="I7" s="22" t="inlineStr"/>
      <c r="K7" s="22" t="inlineStr"/>
      <c r="M7" s="22" t="inlineStr"/>
    </row>
    <row r="8" ht="8" customHeight="1">
      <c r="C8" s="3" t="inlineStr"/>
    </row>
    <row r="9" ht="22" customHeight="1">
      <c r="C9" s="23" t="inlineStr">
        <is>
          <t xml:space="preserve">  📊  SYNTHÈSE PAR CATÉGORIE — Budget vs Réalisé (Exercice Mars 2026 – Février 2027)</t>
        </is>
      </c>
    </row>
    <row r="10" ht="22" customHeight="1">
      <c r="C10" s="24" t="inlineStr">
        <is>
          <t>CATÉGORIE</t>
        </is>
      </c>
      <c r="E10" s="24" t="inlineStr">
        <is>
          <t>BUDGET N</t>
        </is>
      </c>
      <c r="F10" s="24" t="inlineStr">
        <is>
          <t>RÉALISÉ CUM.</t>
        </is>
      </c>
      <c r="G10" s="24" t="inlineStr">
        <is>
          <t>ÉCART €</t>
        </is>
      </c>
      <c r="H10" s="24" t="inlineStr">
        <is>
          <t>% EXEC</t>
        </is>
      </c>
      <c r="I10" s="24" t="inlineStr">
        <is>
          <t>STATUT</t>
        </is>
      </c>
      <c r="K10" s="24" t="inlineStr">
        <is>
          <t>MOIS ACTIF</t>
        </is>
      </c>
      <c r="L10" s="24" t="inlineStr">
        <is>
          <t>TENDANCE</t>
        </is>
      </c>
    </row>
    <row r="11" ht="18" customHeight="1">
      <c r="C11" s="25" t="inlineStr">
        <is>
          <t>ENTRÉES</t>
        </is>
      </c>
      <c r="E11" s="26">
        <f>'PLAN TRÉSO'!D5</f>
        <v/>
      </c>
      <c r="F11" s="26">
        <f>'PLAN TRÉSO'!E5</f>
        <v/>
      </c>
      <c r="G11" s="27">
        <f>'PLAN TRÉSO'!E5-'PLAN TRÉSO'!D5</f>
        <v/>
      </c>
      <c r="H11" s="28">
        <f>'PLAN TRÉSO'!H5</f>
        <v/>
      </c>
      <c r="I11" s="29">
        <f>'PLAN TRÉSO'!I5</f>
        <v/>
      </c>
      <c r="J11" s="30" t="n"/>
      <c r="K11" s="29">
        <f>(RÉALISÉ!D5&lt;&gt;0)+(RÉALISÉ!E5&lt;&gt;0)+(RÉALISÉ!F5&lt;&gt;0)+(RÉALISÉ!G5&lt;&gt;0)</f>
        <v/>
      </c>
      <c r="L11" s="31" t="inlineStr">
        <is>
          <t>(graphique)</t>
        </is>
      </c>
    </row>
    <row r="12" ht="18" customHeight="1">
      <c r="C12" s="32" t="inlineStr">
        <is>
          <t>Recette de la billetterie</t>
        </is>
      </c>
      <c r="E12" s="33">
        <f>'PLAN TRÉSO'!D6</f>
        <v/>
      </c>
      <c r="F12" s="33">
        <f>'PLAN TRÉSO'!E6</f>
        <v/>
      </c>
      <c r="G12" s="33">
        <f>'PLAN TRÉSO'!E6-'PLAN TRÉSO'!D6</f>
        <v/>
      </c>
      <c r="H12" s="34">
        <f>'PLAN TRÉSO'!H6</f>
        <v/>
      </c>
      <c r="I12" s="35">
        <f>'PLAN TRÉSO'!I6</f>
        <v/>
      </c>
      <c r="J12" s="30" t="n"/>
      <c r="K12" s="35">
        <f>(RÉALISÉ!D6&lt;&gt;0)+(RÉALISÉ!E6&lt;&gt;0)+(RÉALISÉ!F6&lt;&gt;0)+(RÉALISÉ!G6&lt;&gt;0)</f>
        <v/>
      </c>
      <c r="L12" s="36" t="inlineStr">
        <is>
          <t>(graphique)</t>
        </is>
      </c>
    </row>
    <row r="13" ht="18" customHeight="1">
      <c r="C13" s="25" t="inlineStr">
        <is>
          <t>SORTIES</t>
        </is>
      </c>
      <c r="E13" s="26">
        <f>'PLAN TRÉSO'!D11</f>
        <v/>
      </c>
      <c r="F13" s="26">
        <f>'PLAN TRÉSO'!E11</f>
        <v/>
      </c>
      <c r="G13" s="27">
        <f>'PLAN TRÉSO'!E11-'PLAN TRÉSO'!D11</f>
        <v/>
      </c>
      <c r="H13" s="28">
        <f>'PLAN TRÉSO'!H11</f>
        <v/>
      </c>
      <c r="I13" s="29">
        <f>'PLAN TRÉSO'!I11</f>
        <v/>
      </c>
      <c r="J13" s="30" t="n"/>
      <c r="K13" s="29">
        <f>(RÉALISÉ!D11&lt;&gt;0)+(RÉALISÉ!E11&lt;&gt;0)+(RÉALISÉ!F11&lt;&gt;0)+(RÉALISÉ!G11&lt;&gt;0)</f>
        <v/>
      </c>
      <c r="L13" s="31" t="inlineStr">
        <is>
          <t>(graphique)</t>
        </is>
      </c>
    </row>
    <row r="14" ht="18" customHeight="1">
      <c r="C14" s="32" t="inlineStr">
        <is>
          <t>Achat Billets</t>
        </is>
      </c>
      <c r="E14" s="33">
        <f>'PLAN TRÉSO'!D12</f>
        <v/>
      </c>
      <c r="F14" s="33">
        <f>'PLAN TRÉSO'!E12</f>
        <v/>
      </c>
      <c r="G14" s="33">
        <f>'PLAN TRÉSO'!E12-'PLAN TRÉSO'!D12</f>
        <v/>
      </c>
      <c r="H14" s="34">
        <f>'PLAN TRÉSO'!H12</f>
        <v/>
      </c>
      <c r="I14" s="35">
        <f>'PLAN TRÉSO'!I12</f>
        <v/>
      </c>
      <c r="J14" s="30" t="n"/>
      <c r="K14" s="35">
        <f>(RÉALISÉ!D12&lt;&gt;0)+(RÉALISÉ!E12&lt;&gt;0)+(RÉALISÉ!F12&lt;&gt;0)+(RÉALISÉ!G12&lt;&gt;0)</f>
        <v/>
      </c>
      <c r="L14" s="36" t="inlineStr">
        <is>
          <t>(graphique)</t>
        </is>
      </c>
    </row>
    <row r="15" ht="18" customHeight="1">
      <c r="C15" s="37" t="inlineStr">
        <is>
          <t>Activités de loisirs</t>
        </is>
      </c>
      <c r="E15" s="38">
        <f>'PLAN TRÉSO'!D29</f>
        <v/>
      </c>
      <c r="F15" s="38">
        <f>'PLAN TRÉSO'!E29</f>
        <v/>
      </c>
      <c r="G15" s="38">
        <f>'PLAN TRÉSO'!E29-'PLAN TRÉSO'!D29</f>
        <v/>
      </c>
      <c r="H15" s="39">
        <f>'PLAN TRÉSO'!H29</f>
        <v/>
      </c>
      <c r="I15" s="40">
        <f>'PLAN TRÉSO'!I29</f>
        <v/>
      </c>
      <c r="J15" s="30" t="n"/>
      <c r="K15" s="40">
        <f>(RÉALISÉ!D29&lt;&gt;0)+(RÉALISÉ!E29&lt;&gt;0)+(RÉALISÉ!F29&lt;&gt;0)+(RÉALISÉ!G29&lt;&gt;0)</f>
        <v/>
      </c>
      <c r="L15" s="41" t="inlineStr">
        <is>
          <t>(graphique)</t>
        </is>
      </c>
    </row>
    <row r="16" ht="18" customHeight="1">
      <c r="C16" s="32" t="inlineStr">
        <is>
          <t>Aides aux voyages</t>
        </is>
      </c>
      <c r="E16" s="33">
        <f>'PLAN TRÉSO'!D31</f>
        <v/>
      </c>
      <c r="F16" s="33">
        <f>'PLAN TRÉSO'!E31</f>
        <v/>
      </c>
      <c r="G16" s="33">
        <f>'PLAN TRÉSO'!E31-'PLAN TRÉSO'!D31</f>
        <v/>
      </c>
      <c r="H16" s="34">
        <f>'PLAN TRÉSO'!H31</f>
        <v/>
      </c>
      <c r="I16" s="35">
        <f>'PLAN TRÉSO'!I31</f>
        <v/>
      </c>
      <c r="J16" s="30" t="n"/>
      <c r="K16" s="35">
        <f>(RÉALISÉ!D31&lt;&gt;0)+(RÉALISÉ!E31&lt;&gt;0)+(RÉALISÉ!F31&lt;&gt;0)+(RÉALISÉ!G31&lt;&gt;0)</f>
        <v/>
      </c>
      <c r="L16" s="36" t="inlineStr">
        <is>
          <t>(graphique)</t>
        </is>
      </c>
    </row>
    <row r="17" ht="18" customHeight="1">
      <c r="C17" s="37" t="inlineStr">
        <is>
          <t>Frais bancaires</t>
        </is>
      </c>
      <c r="E17" s="38">
        <f>'PLAN TRÉSO'!D42</f>
        <v/>
      </c>
      <c r="F17" s="38">
        <f>'PLAN TRÉSO'!E42</f>
        <v/>
      </c>
      <c r="G17" s="38">
        <f>'PLAN TRÉSO'!E42-'PLAN TRÉSO'!D42</f>
        <v/>
      </c>
      <c r="H17" s="39">
        <f>'PLAN TRÉSO'!H42</f>
        <v/>
      </c>
      <c r="I17" s="40">
        <f>'PLAN TRÉSO'!I42</f>
        <v/>
      </c>
      <c r="J17" s="30" t="n"/>
      <c r="K17" s="40">
        <f>(RÉALISÉ!D42&lt;&gt;0)+(RÉALISÉ!E42&lt;&gt;0)+(RÉALISÉ!F42&lt;&gt;0)+(RÉALISÉ!G42&lt;&gt;0)</f>
        <v/>
      </c>
      <c r="L17" s="41" t="inlineStr">
        <is>
          <t>(graphique)</t>
        </is>
      </c>
    </row>
    <row r="18" ht="18" customHeight="1">
      <c r="C18" s="32" t="inlineStr">
        <is>
          <t>Téléphone &amp; Internet</t>
        </is>
      </c>
      <c r="E18" s="33">
        <f>'PLAN TRÉSO'!D54</f>
        <v/>
      </c>
      <c r="F18" s="33">
        <f>'PLAN TRÉSO'!E54</f>
        <v/>
      </c>
      <c r="G18" s="33">
        <f>'PLAN TRÉSO'!E54-'PLAN TRÉSO'!D54</f>
        <v/>
      </c>
      <c r="H18" s="34">
        <f>'PLAN TRÉSO'!H54</f>
        <v/>
      </c>
      <c r="I18" s="35">
        <f>'PLAN TRÉSO'!I54</f>
        <v/>
      </c>
      <c r="J18" s="30" t="n"/>
      <c r="K18" s="35">
        <f>(RÉALISÉ!D54&lt;&gt;0)+(RÉALISÉ!E54&lt;&gt;0)+(RÉALISÉ!F54&lt;&gt;0)+(RÉALISÉ!G54&lt;&gt;0)</f>
        <v/>
      </c>
      <c r="L18" s="36" t="inlineStr">
        <is>
          <t>(graphique)</t>
        </is>
      </c>
    </row>
    <row r="19" ht="18" customHeight="1">
      <c r="C19" s="37" t="inlineStr">
        <is>
          <t>Sorties non catégorisées</t>
        </is>
      </c>
      <c r="E19" s="38">
        <f>'PLAN TRÉSO'!D58</f>
        <v/>
      </c>
      <c r="F19" s="38">
        <f>'PLAN TRÉSO'!E58</f>
        <v/>
      </c>
      <c r="G19" s="38">
        <f>'PLAN TRÉSO'!E58-'PLAN TRÉSO'!D58</f>
        <v/>
      </c>
      <c r="H19" s="39">
        <f>'PLAN TRÉSO'!H58</f>
        <v/>
      </c>
      <c r="I19" s="40">
        <f>'PLAN TRÉSO'!I58</f>
        <v/>
      </c>
      <c r="J19" s="30" t="n"/>
      <c r="K19" s="40">
        <f>(RÉALISÉ!D58&lt;&gt;0)+(RÉALISÉ!E58&lt;&gt;0)+(RÉALISÉ!F58&lt;&gt;0)+(RÉALISÉ!G58&lt;&gt;0)</f>
        <v/>
      </c>
      <c r="L19" s="41" t="inlineStr">
        <is>
          <t>(graphique)</t>
        </is>
      </c>
    </row>
    <row r="20" ht="18" customHeight="1">
      <c r="C20" s="32" t="inlineStr">
        <is>
          <t>Bureaux</t>
        </is>
      </c>
      <c r="E20" s="33">
        <f>'PLAN TRÉSO'!D35</f>
        <v/>
      </c>
      <c r="F20" s="33">
        <f>'PLAN TRÉSO'!E35</f>
        <v/>
      </c>
      <c r="G20" s="33">
        <f>'PLAN TRÉSO'!E35-'PLAN TRÉSO'!D35</f>
        <v/>
      </c>
      <c r="H20" s="34">
        <f>'PLAN TRÉSO'!H35</f>
        <v/>
      </c>
      <c r="I20" s="35">
        <f>'PLAN TRÉSO'!I35</f>
        <v/>
      </c>
      <c r="J20" s="30" t="n"/>
      <c r="K20" s="35">
        <f>(RÉALISÉ!D35&lt;&gt;0)+(RÉALISÉ!E35&lt;&gt;0)+(RÉALISÉ!F35&lt;&gt;0)+(RÉALISÉ!G35&lt;&gt;0)</f>
        <v/>
      </c>
      <c r="L20" s="36" t="inlineStr">
        <is>
          <t>(graphique)</t>
        </is>
      </c>
    </row>
    <row r="21" ht="18" customHeight="1">
      <c r="C21" s="37" t="inlineStr">
        <is>
          <t>Restauration</t>
        </is>
      </c>
      <c r="E21" s="38">
        <f>'PLAN TRÉSO'!D49</f>
        <v/>
      </c>
      <c r="F21" s="38">
        <f>'PLAN TRÉSO'!E49</f>
        <v/>
      </c>
      <c r="G21" s="38">
        <f>'PLAN TRÉSO'!E49-'PLAN TRÉSO'!D49</f>
        <v/>
      </c>
      <c r="H21" s="39">
        <f>'PLAN TRÉSO'!H49</f>
        <v/>
      </c>
      <c r="I21" s="40">
        <f>'PLAN TRÉSO'!I49</f>
        <v/>
      </c>
      <c r="J21" s="30" t="n"/>
      <c r="K21" s="40">
        <f>(RÉALISÉ!D49&lt;&gt;0)+(RÉALISÉ!E49&lt;&gt;0)+(RÉALISÉ!F49&lt;&gt;0)+(RÉALISÉ!G49&lt;&gt;0)</f>
        <v/>
      </c>
      <c r="L21" s="41" t="inlineStr">
        <is>
          <t>(graphique)</t>
        </is>
      </c>
    </row>
    <row r="22" ht="18" customHeight="1">
      <c r="C22" s="32" t="inlineStr">
        <is>
          <t>Sous-traitance &amp; Prestations</t>
        </is>
      </c>
      <c r="E22" s="33">
        <f>'PLAN TRÉSO'!D52</f>
        <v/>
      </c>
      <c r="F22" s="33">
        <f>'PLAN TRÉSO'!E52</f>
        <v/>
      </c>
      <c r="G22" s="33">
        <f>'PLAN TRÉSO'!E52-'PLAN TRÉSO'!D52</f>
        <v/>
      </c>
      <c r="H22" s="34">
        <f>'PLAN TRÉSO'!H52</f>
        <v/>
      </c>
      <c r="I22" s="35">
        <f>'PLAN TRÉSO'!I52</f>
        <v/>
      </c>
      <c r="J22" s="30" t="n"/>
      <c r="K22" s="35">
        <f>(RÉALISÉ!D52&lt;&gt;0)+(RÉALISÉ!E52&lt;&gt;0)+(RÉALISÉ!F52&lt;&gt;0)+(RÉALISÉ!G52&lt;&gt;0)</f>
        <v/>
      </c>
      <c r="L22" s="36" t="inlineStr">
        <is>
          <t>(graphique)</t>
        </is>
      </c>
    </row>
    <row r="23" ht="18" customHeight="1">
      <c r="C23" s="37" t="inlineStr">
        <is>
          <t>Déplacements</t>
        </is>
      </c>
      <c r="E23" s="38">
        <f>'PLAN TRÉSO'!D40</f>
        <v/>
      </c>
      <c r="F23" s="38">
        <f>'PLAN TRÉSO'!E40</f>
        <v/>
      </c>
      <c r="G23" s="38">
        <f>'PLAN TRÉSO'!E40-'PLAN TRÉSO'!D40</f>
        <v/>
      </c>
      <c r="H23" s="39">
        <f>'PLAN TRÉSO'!H40</f>
        <v/>
      </c>
      <c r="I23" s="40">
        <f>'PLAN TRÉSO'!I40</f>
        <v/>
      </c>
      <c r="J23" s="30" t="n"/>
      <c r="K23" s="40">
        <f>(RÉALISÉ!D40&lt;&gt;0)+(RÉALISÉ!E40&lt;&gt;0)+(RÉALISÉ!F40&lt;&gt;0)+(RÉALISÉ!G40&lt;&gt;0)</f>
        <v/>
      </c>
      <c r="L23" s="41" t="inlineStr">
        <is>
          <t>(graphique)</t>
        </is>
      </c>
    </row>
    <row r="24" ht="8" customHeight="1">
      <c r="C24" s="3" t="inlineStr"/>
    </row>
    <row r="25" ht="22" customHeight="1">
      <c r="C25" s="23" t="inlineStr">
        <is>
          <t xml:space="preserve">  💹  ÉVOLUTION DE LA TRÉSORERIE MENSUELLE</t>
        </is>
      </c>
    </row>
    <row r="26" ht="18" customHeight="1">
      <c r="C26" s="24" t="inlineStr">
        <is>
          <t>MOIS</t>
        </is>
      </c>
      <c r="D26" s="42" t="inlineStr">
        <is>
          <t>Mar.26</t>
        </is>
      </c>
      <c r="E26" s="42" t="inlineStr">
        <is>
          <t>Avr.26</t>
        </is>
      </c>
      <c r="F26" s="42" t="inlineStr">
        <is>
          <t>Mai.26</t>
        </is>
      </c>
      <c r="G26" s="43" t="inlineStr">
        <is>
          <t>Jun.26</t>
        </is>
      </c>
      <c r="H26" s="43" t="inlineStr">
        <is>
          <t>Jul.26</t>
        </is>
      </c>
      <c r="I26" s="43" t="inlineStr">
        <is>
          <t>Aoû.26</t>
        </is>
      </c>
      <c r="J26" s="43" t="inlineStr">
        <is>
          <t>Sep.26</t>
        </is>
      </c>
      <c r="K26" s="43" t="inlineStr">
        <is>
          <t>Oct.26</t>
        </is>
      </c>
      <c r="L26" s="43" t="inlineStr">
        <is>
          <t>Nov.26</t>
        </is>
      </c>
      <c r="M26" s="43" t="inlineStr">
        <is>
          <t>Déc.26</t>
        </is>
      </c>
    </row>
    <row r="27" ht="20" customHeight="1">
      <c r="C27" s="44" t="inlineStr">
        <is>
          <t>Trésorerie fin de mois</t>
        </is>
      </c>
      <c r="D27" s="45">
        <f>RÉALISÉ!D60</f>
        <v/>
      </c>
      <c r="E27" s="45">
        <f>RÉALISÉ!E60</f>
        <v/>
      </c>
      <c r="F27" s="45">
        <f>RÉALISÉ!F60</f>
        <v/>
      </c>
      <c r="G27" s="46">
        <f>RÉALISÉ!G60</f>
        <v/>
      </c>
      <c r="H27" s="46">
        <f>RÉALISÉ!H60</f>
        <v/>
      </c>
      <c r="I27" s="46">
        <f>RÉALISÉ!I60</f>
        <v/>
      </c>
      <c r="J27" s="46">
        <f>RÉALISÉ!J60</f>
        <v/>
      </c>
      <c r="K27" s="46">
        <f>RÉALISÉ!K60</f>
        <v/>
      </c>
      <c r="L27" s="46">
        <f>RÉALISÉ!L60</f>
        <v/>
      </c>
      <c r="M27" s="46">
        <f>RÉALISÉ!M60</f>
        <v/>
      </c>
    </row>
    <row r="28" ht="20" customHeight="1">
      <c r="C28" s="47" t="inlineStr">
        <is>
          <t>Entrées</t>
        </is>
      </c>
      <c r="D28" s="48">
        <f>RÉALISÉ!D5</f>
        <v/>
      </c>
      <c r="E28" s="48">
        <f>RÉALISÉ!E5</f>
        <v/>
      </c>
      <c r="F28" s="48">
        <f>RÉALISÉ!F5</f>
        <v/>
      </c>
      <c r="G28" s="49">
        <f>RÉALISÉ!G5</f>
        <v/>
      </c>
      <c r="H28" s="49">
        <f>RÉALISÉ!H5</f>
        <v/>
      </c>
      <c r="I28" s="49">
        <f>RÉALISÉ!I5</f>
        <v/>
      </c>
      <c r="J28" s="49">
        <f>RÉALISÉ!J5</f>
        <v/>
      </c>
      <c r="K28" s="49">
        <f>RÉALISÉ!K5</f>
        <v/>
      </c>
      <c r="L28" s="49">
        <f>RÉALISÉ!L5</f>
        <v/>
      </c>
      <c r="M28" s="49">
        <f>RÉALISÉ!M5</f>
        <v/>
      </c>
    </row>
    <row r="29" ht="20" customHeight="1">
      <c r="C29" s="50" t="inlineStr">
        <is>
          <t>Sorties</t>
        </is>
      </c>
      <c r="D29" s="51">
        <f>RÉALISÉ!D11</f>
        <v/>
      </c>
      <c r="E29" s="51">
        <f>RÉALISÉ!E11</f>
        <v/>
      </c>
      <c r="F29" s="51">
        <f>RÉALISÉ!F11</f>
        <v/>
      </c>
      <c r="G29" s="52">
        <f>RÉALISÉ!G11</f>
        <v/>
      </c>
      <c r="H29" s="52">
        <f>RÉALISÉ!H11</f>
        <v/>
      </c>
      <c r="I29" s="52">
        <f>RÉALISÉ!I11</f>
        <v/>
      </c>
      <c r="J29" s="52">
        <f>RÉALISÉ!J11</f>
        <v/>
      </c>
      <c r="K29" s="52">
        <f>RÉALISÉ!K11</f>
        <v/>
      </c>
      <c r="L29" s="52">
        <f>RÉALISÉ!L11</f>
        <v/>
      </c>
      <c r="M29" s="52">
        <f>RÉALISÉ!M11</f>
        <v/>
      </c>
    </row>
    <row r="31" ht="22" customHeight="1">
      <c r="C31" s="53" t="inlineStr">
        <is>
          <t xml:space="preserve">  ⚠️   ALERTES AUTOMATIQUES</t>
        </is>
      </c>
    </row>
    <row r="32" ht="20" customHeight="1">
      <c r="C32" s="54" t="inlineStr">
        <is>
          <t xml:space="preserve">  🔵  Budget en cours de saisie — veuillez renseigner l'onglet BUDGET pour activer les alertes budgétaires.</t>
        </is>
      </c>
    </row>
    <row r="33" ht="20" customHeight="1">
      <c r="C33" s="55" t="inlineStr">
        <is>
          <t>🟡</t>
        </is>
      </c>
      <c r="D33" s="37" t="inlineStr">
        <is>
          <t>Sorties non catégorisées très élevées : 59 097 € cumulés sur Mars–Juin 2026 → Vérifier la ventilation analytique dans Pennylane</t>
        </is>
      </c>
    </row>
    <row r="34" ht="20" customHeight="1">
      <c r="C34" s="55" t="inlineStr">
        <is>
          <t>🟡</t>
        </is>
      </c>
      <c r="D34" s="37" t="inlineStr">
        <is>
          <t>Achat Billets : solde net négatif (-31 339 €) → Normal si avances remboursées, à surveiller</t>
        </is>
      </c>
    </row>
    <row r="35" ht="20" customHeight="1">
      <c r="C35" s="55" t="inlineStr">
        <is>
          <t>🟢</t>
        </is>
      </c>
      <c r="D35" s="37" t="inlineStr">
        <is>
          <t>Frais bancaires : 307 € cumulés → Niveau normal pour un CSE</t>
        </is>
      </c>
    </row>
    <row r="36" ht="20" customHeight="1">
      <c r="C36" s="55" t="inlineStr">
        <is>
          <t>🔵</t>
        </is>
      </c>
      <c r="D36" s="37" t="inlineStr">
        <is>
          <t>Budget à saisir pour 9 catégories sans prévision → Risque de dépassement non détecté</t>
        </is>
      </c>
    </row>
    <row r="38" ht="15" customHeight="1">
      <c r="C38" s="56" t="inlineStr">
        <is>
          <t xml:space="preserve">  Outil conçu avec Claude Code · Expert-comptable CSE · Données Pennylane · Mars 2026 – Février 2027</t>
        </is>
      </c>
    </row>
  </sheetData>
  <mergeCells count="85">
    <mergeCell ref="L17:M17"/>
    <mergeCell ref="C6:D6"/>
    <mergeCell ref="C15:D15"/>
    <mergeCell ref="C24:M24"/>
    <mergeCell ref="L19:M19"/>
    <mergeCell ref="K10"/>
    <mergeCell ref="L12:M12"/>
    <mergeCell ref="I16:J16"/>
    <mergeCell ref="C1:M1"/>
    <mergeCell ref="L14:M14"/>
    <mergeCell ref="I18:J18"/>
    <mergeCell ref="C2:M2"/>
    <mergeCell ref="C17:D17"/>
    <mergeCell ref="I20:J20"/>
    <mergeCell ref="L21:M21"/>
    <mergeCell ref="C19:D19"/>
    <mergeCell ref="M6"/>
    <mergeCell ref="I13:J13"/>
    <mergeCell ref="I6:J6"/>
    <mergeCell ref="I15:J15"/>
    <mergeCell ref="L16:M16"/>
    <mergeCell ref="C5:D5"/>
    <mergeCell ref="E5:F5"/>
    <mergeCell ref="C14:D14"/>
    <mergeCell ref="C4:D4"/>
    <mergeCell ref="E4:F4"/>
    <mergeCell ref="M4"/>
    <mergeCell ref="G7:H7"/>
    <mergeCell ref="I7:J7"/>
    <mergeCell ref="L20:M20"/>
    <mergeCell ref="E10"/>
    <mergeCell ref="G10"/>
    <mergeCell ref="I17:J17"/>
    <mergeCell ref="L22:M22"/>
    <mergeCell ref="C8:M8"/>
    <mergeCell ref="I10:J10"/>
    <mergeCell ref="I19:J19"/>
    <mergeCell ref="C18:D18"/>
    <mergeCell ref="K6:L6"/>
    <mergeCell ref="C3:M3"/>
    <mergeCell ref="I11:J11"/>
    <mergeCell ref="K5:L5"/>
    <mergeCell ref="C20:D20"/>
    <mergeCell ref="D35:M35"/>
    <mergeCell ref="L18:M18"/>
    <mergeCell ref="C22:D22"/>
    <mergeCell ref="D34:M34"/>
    <mergeCell ref="H10"/>
    <mergeCell ref="C31:M31"/>
    <mergeCell ref="I21:J21"/>
    <mergeCell ref="C12:D12"/>
    <mergeCell ref="E6:F6"/>
    <mergeCell ref="C21:D21"/>
    <mergeCell ref="D36:M36"/>
    <mergeCell ref="L10:M10"/>
    <mergeCell ref="I23:J23"/>
    <mergeCell ref="C23:D23"/>
    <mergeCell ref="K7:L7"/>
    <mergeCell ref="C7:D7"/>
    <mergeCell ref="E7:F7"/>
    <mergeCell ref="M7"/>
    <mergeCell ref="C38:M38"/>
    <mergeCell ref="L11:M11"/>
    <mergeCell ref="L13:M13"/>
    <mergeCell ref="D33:M33"/>
    <mergeCell ref="C10:D10"/>
    <mergeCell ref="C16:D16"/>
    <mergeCell ref="L15:M15"/>
    <mergeCell ref="C25:M25"/>
    <mergeCell ref="G6:H6"/>
    <mergeCell ref="F10"/>
    <mergeCell ref="I22:J22"/>
    <mergeCell ref="L23:M23"/>
    <mergeCell ref="M5"/>
    <mergeCell ref="C9:M9"/>
    <mergeCell ref="I12:J12"/>
    <mergeCell ref="C11:D11"/>
    <mergeCell ref="G5:H5"/>
    <mergeCell ref="I5:J5"/>
    <mergeCell ref="I14:J14"/>
    <mergeCell ref="G4:H4"/>
    <mergeCell ref="I4:J4"/>
    <mergeCell ref="C32:M32"/>
    <mergeCell ref="C13:D13"/>
    <mergeCell ref="K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AS6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.5" customWidth="1" min="2" max="2"/>
    <col width="33" customWidth="1" min="3" max="3"/>
    <col width="13" customWidth="1" min="4" max="4"/>
    <col width="13" customWidth="1" min="5" max="5"/>
    <col width="12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1" customWidth="1" min="12" max="12"/>
    <col width="12" customWidth="1" min="13" max="13"/>
    <col width="12" customWidth="1" min="14" max="14"/>
    <col width="11" customWidth="1" min="15" max="15"/>
    <col width="12" customWidth="1" min="16" max="16"/>
    <col width="12" customWidth="1" min="17" max="17"/>
    <col width="11" customWidth="1" min="18" max="18"/>
    <col width="12" customWidth="1" min="19" max="19"/>
    <col width="12" customWidth="1" min="20" max="20"/>
    <col width="11" customWidth="1" min="21" max="21"/>
    <col width="12" customWidth="1" min="22" max="22"/>
    <col width="12" customWidth="1" min="23" max="23"/>
    <col width="11" customWidth="1" min="24" max="24"/>
    <col width="12" customWidth="1" min="25" max="25"/>
    <col width="12" customWidth="1" min="26" max="26"/>
    <col width="11" customWidth="1" min="27" max="27"/>
    <col width="12" customWidth="1" min="28" max="28"/>
    <col width="12" customWidth="1" min="29" max="29"/>
    <col width="11" customWidth="1" min="30" max="30"/>
    <col width="12" customWidth="1" min="31" max="31"/>
    <col width="12" customWidth="1" min="32" max="32"/>
    <col width="11" customWidth="1" min="33" max="33"/>
    <col width="12" customWidth="1" min="34" max="34"/>
    <col width="12" customWidth="1" min="35" max="35"/>
    <col width="11" customWidth="1" min="36" max="36"/>
    <col width="12" customWidth="1" min="37" max="37"/>
    <col width="12" customWidth="1" min="38" max="38"/>
    <col width="11" customWidth="1" min="39" max="39"/>
    <col width="12" customWidth="1" min="40" max="40"/>
    <col width="12" customWidth="1" min="41" max="41"/>
    <col width="11" customWidth="1" min="42" max="42"/>
    <col width="12" customWidth="1" min="43" max="43"/>
    <col width="12" customWidth="1" min="44" max="44"/>
    <col width="11" customWidth="1" min="45" max="45"/>
  </cols>
  <sheetData>
    <row r="1" ht="35" customHeight="1">
      <c r="C1" s="57" t="inlineStr">
        <is>
          <t>📊  PLAN DE TRÉSORERIE — Réalisé vs Budget | CSE LIDL ENTZHEIM | Mars 2026 – Février 2027</t>
        </is>
      </c>
    </row>
    <row r="2" ht="22" customHeight="1">
      <c r="C2" s="58" t="inlineStr">
        <is>
          <t>CATÉGORIE</t>
        </is>
      </c>
      <c r="D2" s="58" t="inlineStr">
        <is>
          <t>◀  SYNTHÈSE ANNUELLE  ▶</t>
        </is>
      </c>
      <c r="J2" s="59" t="inlineStr">
        <is>
          <t>Mars 2026</t>
        </is>
      </c>
      <c r="M2" s="59" t="inlineStr">
        <is>
          <t>Avril 2026</t>
        </is>
      </c>
      <c r="P2" s="59" t="inlineStr">
        <is>
          <t>Mai 2026</t>
        </is>
      </c>
      <c r="S2" s="24" t="inlineStr">
        <is>
          <t>Juin 2026</t>
        </is>
      </c>
      <c r="V2" s="24" t="inlineStr">
        <is>
          <t>Juillet 2026</t>
        </is>
      </c>
      <c r="Y2" s="24" t="inlineStr">
        <is>
          <t>Août 2026</t>
        </is>
      </c>
      <c r="AB2" s="24" t="inlineStr">
        <is>
          <t>Septembre 2026</t>
        </is>
      </c>
      <c r="AE2" s="24" t="inlineStr">
        <is>
          <t>Octobre 2026</t>
        </is>
      </c>
      <c r="AH2" s="24" t="inlineStr">
        <is>
          <t>Novembre 2026</t>
        </is>
      </c>
      <c r="AK2" s="24" t="inlineStr">
        <is>
          <t>Décembre 2026</t>
        </is>
      </c>
      <c r="AN2" s="24" t="inlineStr">
        <is>
          <t>Janvier 2027</t>
        </is>
      </c>
      <c r="AQ2" s="24" t="inlineStr">
        <is>
          <t>Février 2027</t>
        </is>
      </c>
    </row>
    <row r="3" ht="25" customHeight="1">
      <c r="C3" s="24" t="inlineStr"/>
      <c r="D3" s="60" t="inlineStr">
        <is>
          <t>Budget N</t>
        </is>
      </c>
      <c r="E3" s="60" t="inlineStr">
        <is>
          <t>Réalisé</t>
        </is>
      </c>
      <c r="F3" s="60" t="inlineStr">
        <is>
          <t>À venir</t>
        </is>
      </c>
      <c r="G3" s="60" t="inlineStr">
        <is>
          <t>Reste</t>
        </is>
      </c>
      <c r="H3" s="60" t="inlineStr">
        <is>
          <t>% Exec</t>
        </is>
      </c>
      <c r="I3" s="60" t="inlineStr">
        <is>
          <t>Statut</t>
        </is>
      </c>
      <c r="J3" s="61" t="inlineStr">
        <is>
          <t>Budget</t>
        </is>
      </c>
      <c r="K3" s="61" t="inlineStr">
        <is>
          <t>Réalisé</t>
        </is>
      </c>
      <c r="L3" s="61" t="inlineStr">
        <is>
          <t>Écart</t>
        </is>
      </c>
      <c r="M3" s="61" t="inlineStr">
        <is>
          <t>Budget</t>
        </is>
      </c>
      <c r="N3" s="61" t="inlineStr">
        <is>
          <t>Réalisé</t>
        </is>
      </c>
      <c r="O3" s="61" t="inlineStr">
        <is>
          <t>Écart</t>
        </is>
      </c>
      <c r="P3" s="61" t="inlineStr">
        <is>
          <t>Budget</t>
        </is>
      </c>
      <c r="Q3" s="61" t="inlineStr">
        <is>
          <t>Réalisé</t>
        </is>
      </c>
      <c r="R3" s="61" t="inlineStr">
        <is>
          <t>Écart</t>
        </is>
      </c>
      <c r="S3" s="62" t="inlineStr">
        <is>
          <t>Budget</t>
        </is>
      </c>
      <c r="T3" s="62" t="inlineStr">
        <is>
          <t>Réalisé</t>
        </is>
      </c>
      <c r="U3" s="62" t="inlineStr">
        <is>
          <t>Écart</t>
        </is>
      </c>
      <c r="V3" s="62" t="inlineStr">
        <is>
          <t>Budget</t>
        </is>
      </c>
      <c r="W3" s="62" t="inlineStr">
        <is>
          <t>Réalisé</t>
        </is>
      </c>
      <c r="X3" s="62" t="inlineStr">
        <is>
          <t>Écart</t>
        </is>
      </c>
      <c r="Y3" s="62" t="inlineStr">
        <is>
          <t>Budget</t>
        </is>
      </c>
      <c r="Z3" s="62" t="inlineStr">
        <is>
          <t>Réalisé</t>
        </is>
      </c>
      <c r="AA3" s="62" t="inlineStr">
        <is>
          <t>Écart</t>
        </is>
      </c>
      <c r="AB3" s="62" t="inlineStr">
        <is>
          <t>Budget</t>
        </is>
      </c>
      <c r="AC3" s="62" t="inlineStr">
        <is>
          <t>Réalisé</t>
        </is>
      </c>
      <c r="AD3" s="62" t="inlineStr">
        <is>
          <t>Écart</t>
        </is>
      </c>
      <c r="AE3" s="62" t="inlineStr">
        <is>
          <t>Budget</t>
        </is>
      </c>
      <c r="AF3" s="62" t="inlineStr">
        <is>
          <t>Réalisé</t>
        </is>
      </c>
      <c r="AG3" s="62" t="inlineStr">
        <is>
          <t>Écart</t>
        </is>
      </c>
      <c r="AH3" s="62" t="inlineStr">
        <is>
          <t>Budget</t>
        </is>
      </c>
      <c r="AI3" s="62" t="inlineStr">
        <is>
          <t>Réalisé</t>
        </is>
      </c>
      <c r="AJ3" s="62" t="inlineStr">
        <is>
          <t>Écart</t>
        </is>
      </c>
      <c r="AK3" s="62" t="inlineStr">
        <is>
          <t>Budget</t>
        </is>
      </c>
      <c r="AL3" s="62" t="inlineStr">
        <is>
          <t>Réalisé</t>
        </is>
      </c>
      <c r="AM3" s="62" t="inlineStr">
        <is>
          <t>Écart</t>
        </is>
      </c>
      <c r="AN3" s="62" t="inlineStr">
        <is>
          <t>Budget</t>
        </is>
      </c>
      <c r="AO3" s="62" t="inlineStr">
        <is>
          <t>Réalisé</t>
        </is>
      </c>
      <c r="AP3" s="62" t="inlineStr">
        <is>
          <t>Écart</t>
        </is>
      </c>
      <c r="AQ3" s="62" t="inlineStr">
        <is>
          <t>Budget</t>
        </is>
      </c>
      <c r="AR3" s="62" t="inlineStr">
        <is>
          <t>Réalisé</t>
        </is>
      </c>
      <c r="AS3" s="62" t="inlineStr">
        <is>
          <t>Écart</t>
        </is>
      </c>
    </row>
    <row r="4" ht="18" customHeight="1">
      <c r="C4" s="63" t="inlineStr">
        <is>
          <t>Trésorerie début de mois</t>
        </is>
      </c>
      <c r="D4" s="64" t="inlineStr"/>
      <c r="E4" s="64" t="inlineStr"/>
      <c r="F4" s="64" t="inlineStr"/>
      <c r="G4" s="64" t="inlineStr"/>
      <c r="H4" s="64" t="inlineStr"/>
      <c r="I4" s="64" t="inlineStr"/>
      <c r="J4" s="65" t="inlineStr"/>
      <c r="K4" s="66">
        <f>RÉALISÉ!D4</f>
        <v/>
      </c>
      <c r="L4" s="64" t="inlineStr"/>
      <c r="M4" s="65" t="inlineStr"/>
      <c r="N4" s="66">
        <f>RÉALISÉ!E4</f>
        <v/>
      </c>
      <c r="O4" s="64" t="inlineStr"/>
      <c r="P4" s="65" t="inlineStr"/>
      <c r="Q4" s="66">
        <f>RÉALISÉ!F4</f>
        <v/>
      </c>
      <c r="R4" s="64" t="inlineStr"/>
      <c r="S4" s="65" t="inlineStr"/>
      <c r="T4" s="66">
        <f>RÉALISÉ!G4</f>
        <v/>
      </c>
      <c r="U4" s="64" t="inlineStr"/>
      <c r="V4" s="65" t="inlineStr"/>
      <c r="W4" s="65" t="inlineStr"/>
      <c r="X4" s="64" t="inlineStr"/>
      <c r="Y4" s="65" t="inlineStr"/>
      <c r="Z4" s="65" t="inlineStr"/>
      <c r="AA4" s="64" t="inlineStr"/>
      <c r="AB4" s="65" t="inlineStr"/>
      <c r="AC4" s="65" t="inlineStr"/>
      <c r="AD4" s="64" t="inlineStr"/>
      <c r="AE4" s="65" t="inlineStr"/>
      <c r="AF4" s="65" t="inlineStr"/>
      <c r="AG4" s="64" t="inlineStr"/>
      <c r="AH4" s="65" t="inlineStr"/>
      <c r="AI4" s="65" t="inlineStr"/>
      <c r="AJ4" s="64" t="inlineStr"/>
      <c r="AK4" s="65" t="inlineStr"/>
      <c r="AL4" s="65" t="inlineStr"/>
      <c r="AM4" s="64" t="inlineStr"/>
      <c r="AN4" s="65" t="inlineStr"/>
      <c r="AO4" s="65" t="inlineStr"/>
      <c r="AP4" s="64" t="inlineStr"/>
      <c r="AQ4" s="65" t="inlineStr"/>
      <c r="AR4" s="65" t="inlineStr"/>
      <c r="AS4" s="64" t="inlineStr"/>
    </row>
    <row r="5" ht="18" customHeight="1">
      <c r="C5" s="67" t="inlineStr">
        <is>
          <t>ENTRÉES</t>
        </is>
      </c>
      <c r="D5" s="68">
        <f>BUDGET!D5+BUDGET!E5+BUDGET!F5+BUDGET!G5+BUDGET!H5+BUDGET!I5+BUDGET!J5+BUDGET!K5+BUDGET!L5+BUDGET!M5+BUDGET!N5+BUDGET!O5</f>
        <v/>
      </c>
      <c r="E5" s="68">
        <f>RÉALISÉ!D5+RÉALISÉ!E5+RÉALISÉ!F5+RÉALISÉ!G5+RÉALISÉ!H5+RÉALISÉ!I5+RÉALISÉ!J5+RÉALISÉ!K5+RÉALISÉ!L5+RÉALISÉ!M5+RÉALISÉ!N5+RÉALISÉ!O5</f>
        <v/>
      </c>
      <c r="F5" s="69" t="inlineStr"/>
      <c r="G5" s="68">
        <f>D5-E5</f>
        <v/>
      </c>
      <c r="H5" s="70">
        <f>IF(D5&lt;&gt;0,E5/D5,"")</f>
        <v/>
      </c>
      <c r="I5" s="71" t="inlineStr"/>
      <c r="J5" s="68">
        <f>BUDGET!D5</f>
        <v/>
      </c>
      <c r="K5" s="68">
        <f>RÉALISÉ!D5</f>
        <v/>
      </c>
      <c r="L5" s="68">
        <f>K5-J5</f>
        <v/>
      </c>
      <c r="M5" s="68">
        <f>BUDGET!E5</f>
        <v/>
      </c>
      <c r="N5" s="68">
        <f>RÉALISÉ!E5</f>
        <v/>
      </c>
      <c r="O5" s="68">
        <f>N5-M5</f>
        <v/>
      </c>
      <c r="P5" s="68">
        <f>BUDGET!F5</f>
        <v/>
      </c>
      <c r="Q5" s="68">
        <f>RÉALISÉ!F5</f>
        <v/>
      </c>
      <c r="R5" s="68">
        <f>Q5-P5</f>
        <v/>
      </c>
      <c r="S5" s="68">
        <f>BUDGET!G5</f>
        <v/>
      </c>
      <c r="T5" s="68">
        <f>RÉALISÉ!G5</f>
        <v/>
      </c>
      <c r="U5" s="68">
        <f>T5-S5</f>
        <v/>
      </c>
      <c r="V5" s="68">
        <f>BUDGET!H5</f>
        <v/>
      </c>
      <c r="W5" s="68">
        <f>RÉALISÉ!H5</f>
        <v/>
      </c>
      <c r="X5" s="68">
        <f>W5-V5</f>
        <v/>
      </c>
      <c r="Y5" s="68">
        <f>BUDGET!I5</f>
        <v/>
      </c>
      <c r="Z5" s="68">
        <f>RÉALISÉ!I5</f>
        <v/>
      </c>
      <c r="AA5" s="68">
        <f>Z5-Y5</f>
        <v/>
      </c>
      <c r="AB5" s="68">
        <f>BUDGET!J5</f>
        <v/>
      </c>
      <c r="AC5" s="68">
        <f>RÉALISÉ!J5</f>
        <v/>
      </c>
      <c r="AD5" s="68">
        <f>AC5-AB5</f>
        <v/>
      </c>
      <c r="AE5" s="68">
        <f>BUDGET!K5</f>
        <v/>
      </c>
      <c r="AF5" s="68">
        <f>RÉALISÉ!K5</f>
        <v/>
      </c>
      <c r="AG5" s="68">
        <f>AF5-AE5</f>
        <v/>
      </c>
      <c r="AH5" s="68">
        <f>BUDGET!L5</f>
        <v/>
      </c>
      <c r="AI5" s="68">
        <f>RÉALISÉ!L5</f>
        <v/>
      </c>
      <c r="AJ5" s="68">
        <f>AI5-AH5</f>
        <v/>
      </c>
      <c r="AK5" s="68">
        <f>BUDGET!M5</f>
        <v/>
      </c>
      <c r="AL5" s="68">
        <f>RÉALISÉ!M5</f>
        <v/>
      </c>
      <c r="AM5" s="68">
        <f>AL5-AK5</f>
        <v/>
      </c>
      <c r="AN5" s="68">
        <f>BUDGET!N5</f>
        <v/>
      </c>
      <c r="AO5" s="68">
        <f>RÉALISÉ!N5</f>
        <v/>
      </c>
      <c r="AP5" s="68">
        <f>AO5-AN5</f>
        <v/>
      </c>
      <c r="AQ5" s="68">
        <f>BUDGET!O5</f>
        <v/>
      </c>
      <c r="AR5" s="68">
        <f>RÉALISÉ!O5</f>
        <v/>
      </c>
      <c r="AS5" s="68">
        <f>AR5-AQ5</f>
        <v/>
      </c>
    </row>
    <row r="6" ht="18" customHeight="1">
      <c r="C6" s="72" t="inlineStr">
        <is>
          <t xml:space="preserve">    Recette de la billetterie</t>
        </is>
      </c>
      <c r="D6" s="73">
        <f>BUDGET!D6+BUDGET!E6+BUDGET!F6+BUDGET!G6+BUDGET!H6+BUDGET!I6+BUDGET!J6+BUDGET!K6+BUDGET!L6+BUDGET!M6+BUDGET!N6+BUDGET!O6</f>
        <v/>
      </c>
      <c r="E6" s="73">
        <f>RÉALISÉ!D6+RÉALISÉ!E6+RÉALISÉ!F6+RÉALISÉ!G6+RÉALISÉ!H6+RÉALISÉ!I6+RÉALISÉ!J6+RÉALISÉ!K6+RÉALISÉ!L6+RÉALISÉ!M6+RÉALISÉ!N6+RÉALISÉ!O6</f>
        <v/>
      </c>
      <c r="F6" s="73" t="inlineStr"/>
      <c r="G6" s="74">
        <f>D6-E6</f>
        <v/>
      </c>
      <c r="H6" s="75">
        <f>IF(D6&lt;&gt;0,E6/D6,"")</f>
        <v/>
      </c>
      <c r="I6" s="76">
        <f>IF(D6=0,"—",IF(H6&gt;=1.1,"🔴 Dépassé",IF(H6&gt;=0.9,"🟠 Attention",IF(H6&gt;=0.5,"🟢 OK","🔵 En cours"))))</f>
        <v/>
      </c>
      <c r="J6" s="77">
        <f>BUDGET!D6</f>
        <v/>
      </c>
      <c r="K6" s="77">
        <f>RÉALISÉ!D6</f>
        <v/>
      </c>
      <c r="L6" s="77">
        <f>K6-J6</f>
        <v/>
      </c>
      <c r="M6" s="77">
        <f>BUDGET!E6</f>
        <v/>
      </c>
      <c r="N6" s="77">
        <f>RÉALISÉ!E6</f>
        <v/>
      </c>
      <c r="O6" s="77">
        <f>N6-M6</f>
        <v/>
      </c>
      <c r="P6" s="77">
        <f>BUDGET!F6</f>
        <v/>
      </c>
      <c r="Q6" s="77">
        <f>RÉALISÉ!F6</f>
        <v/>
      </c>
      <c r="R6" s="77">
        <f>Q6-P6</f>
        <v/>
      </c>
      <c r="S6" s="78">
        <f>BUDGET!G6</f>
        <v/>
      </c>
      <c r="T6" s="78">
        <f>RÉALISÉ!G6</f>
        <v/>
      </c>
      <c r="U6" s="78">
        <f>T6-S6</f>
        <v/>
      </c>
      <c r="V6" s="78">
        <f>BUDGET!H6</f>
        <v/>
      </c>
      <c r="W6" s="78">
        <f>RÉALISÉ!H6</f>
        <v/>
      </c>
      <c r="X6" s="78">
        <f>W6-V6</f>
        <v/>
      </c>
      <c r="Y6" s="78">
        <f>BUDGET!I6</f>
        <v/>
      </c>
      <c r="Z6" s="78">
        <f>RÉALISÉ!I6</f>
        <v/>
      </c>
      <c r="AA6" s="78">
        <f>Z6-Y6</f>
        <v/>
      </c>
      <c r="AB6" s="78">
        <f>BUDGET!J6</f>
        <v/>
      </c>
      <c r="AC6" s="78">
        <f>RÉALISÉ!J6</f>
        <v/>
      </c>
      <c r="AD6" s="78">
        <f>AC6-AB6</f>
        <v/>
      </c>
      <c r="AE6" s="78">
        <f>BUDGET!K6</f>
        <v/>
      </c>
      <c r="AF6" s="78">
        <f>RÉALISÉ!K6</f>
        <v/>
      </c>
      <c r="AG6" s="78">
        <f>AF6-AE6</f>
        <v/>
      </c>
      <c r="AH6" s="78">
        <f>BUDGET!L6</f>
        <v/>
      </c>
      <c r="AI6" s="78">
        <f>RÉALISÉ!L6</f>
        <v/>
      </c>
      <c r="AJ6" s="78">
        <f>AI6-AH6</f>
        <v/>
      </c>
      <c r="AK6" s="78">
        <f>BUDGET!M6</f>
        <v/>
      </c>
      <c r="AL6" s="78">
        <f>RÉALISÉ!M6</f>
        <v/>
      </c>
      <c r="AM6" s="78">
        <f>AL6-AK6</f>
        <v/>
      </c>
      <c r="AN6" s="78">
        <f>BUDGET!N6</f>
        <v/>
      </c>
      <c r="AO6" s="78">
        <f>RÉALISÉ!N6</f>
        <v/>
      </c>
      <c r="AP6" s="78">
        <f>AO6-AN6</f>
        <v/>
      </c>
      <c r="AQ6" s="78">
        <f>BUDGET!O6</f>
        <v/>
      </c>
      <c r="AR6" s="78">
        <f>RÉALISÉ!O6</f>
        <v/>
      </c>
      <c r="AS6" s="78">
        <f>AR6-AQ6</f>
        <v/>
      </c>
    </row>
    <row r="7" ht="18" customHeight="1">
      <c r="C7" s="79" t="inlineStr">
        <is>
          <t xml:space="preserve">        Rétrocession Commission - Machines à café</t>
        </is>
      </c>
      <c r="D7" s="80">
        <f>BUDGET!D7+BUDGET!E7+BUDGET!F7+BUDGET!G7+BUDGET!H7+BUDGET!I7+BUDGET!J7+BUDGET!K7+BUDGET!L7+BUDGET!M7+BUDGET!N7+BUDGET!O7</f>
        <v/>
      </c>
      <c r="E7" s="80">
        <f>RÉALISÉ!D7+RÉALISÉ!E7+RÉALISÉ!F7+RÉALISÉ!G7+RÉALISÉ!H7+RÉALISÉ!I7+RÉALISÉ!J7+RÉALISÉ!K7+RÉALISÉ!L7+RÉALISÉ!M7+RÉALISÉ!N7+RÉALISÉ!O7</f>
        <v/>
      </c>
      <c r="F7" s="80" t="inlineStr"/>
      <c r="G7" s="74">
        <f>D7-E7</f>
        <v/>
      </c>
      <c r="H7" s="75">
        <f>IF(D7&lt;&gt;0,E7/D7,"")</f>
        <v/>
      </c>
      <c r="I7" s="76">
        <f>IF(D7=0,"—",IF(H7&gt;=1.1,"🔴 Dépassé",IF(H7&gt;=0.9,"🟠 Attention",IF(H7&gt;=0.5,"🟢 OK","🔵 En cours"))))</f>
        <v/>
      </c>
      <c r="J7" s="77">
        <f>BUDGET!D7</f>
        <v/>
      </c>
      <c r="K7" s="77">
        <f>RÉALISÉ!D7</f>
        <v/>
      </c>
      <c r="L7" s="77">
        <f>K7-J7</f>
        <v/>
      </c>
      <c r="M7" s="77">
        <f>BUDGET!E7</f>
        <v/>
      </c>
      <c r="N7" s="77">
        <f>RÉALISÉ!E7</f>
        <v/>
      </c>
      <c r="O7" s="77">
        <f>N7-M7</f>
        <v/>
      </c>
      <c r="P7" s="77">
        <f>BUDGET!F7</f>
        <v/>
      </c>
      <c r="Q7" s="77">
        <f>RÉALISÉ!F7</f>
        <v/>
      </c>
      <c r="R7" s="77">
        <f>Q7-P7</f>
        <v/>
      </c>
      <c r="S7" s="78">
        <f>BUDGET!G7</f>
        <v/>
      </c>
      <c r="T7" s="78">
        <f>RÉALISÉ!G7</f>
        <v/>
      </c>
      <c r="U7" s="78">
        <f>T7-S7</f>
        <v/>
      </c>
      <c r="V7" s="78">
        <f>BUDGET!H7</f>
        <v/>
      </c>
      <c r="W7" s="78">
        <f>RÉALISÉ!H7</f>
        <v/>
      </c>
      <c r="X7" s="78">
        <f>W7-V7</f>
        <v/>
      </c>
      <c r="Y7" s="78">
        <f>BUDGET!I7</f>
        <v/>
      </c>
      <c r="Z7" s="78">
        <f>RÉALISÉ!I7</f>
        <v/>
      </c>
      <c r="AA7" s="78">
        <f>Z7-Y7</f>
        <v/>
      </c>
      <c r="AB7" s="78">
        <f>BUDGET!J7</f>
        <v/>
      </c>
      <c r="AC7" s="78">
        <f>RÉALISÉ!J7</f>
        <v/>
      </c>
      <c r="AD7" s="78">
        <f>AC7-AB7</f>
        <v/>
      </c>
      <c r="AE7" s="78">
        <f>BUDGET!K7</f>
        <v/>
      </c>
      <c r="AF7" s="78">
        <f>RÉALISÉ!K7</f>
        <v/>
      </c>
      <c r="AG7" s="78">
        <f>AF7-AE7</f>
        <v/>
      </c>
      <c r="AH7" s="78">
        <f>BUDGET!L7</f>
        <v/>
      </c>
      <c r="AI7" s="78">
        <f>RÉALISÉ!L7</f>
        <v/>
      </c>
      <c r="AJ7" s="78">
        <f>AI7-AH7</f>
        <v/>
      </c>
      <c r="AK7" s="78">
        <f>BUDGET!M7</f>
        <v/>
      </c>
      <c r="AL7" s="78">
        <f>RÉALISÉ!M7</f>
        <v/>
      </c>
      <c r="AM7" s="78">
        <f>AL7-AK7</f>
        <v/>
      </c>
      <c r="AN7" s="78">
        <f>BUDGET!N7</f>
        <v/>
      </c>
      <c r="AO7" s="78">
        <f>RÉALISÉ!N7</f>
        <v/>
      </c>
      <c r="AP7" s="78">
        <f>AO7-AN7</f>
        <v/>
      </c>
      <c r="AQ7" s="78">
        <f>BUDGET!O7</f>
        <v/>
      </c>
      <c r="AR7" s="78">
        <f>RÉALISÉ!O7</f>
        <v/>
      </c>
      <c r="AS7" s="78">
        <f>AR7-AQ7</f>
        <v/>
      </c>
    </row>
    <row r="8" ht="18" customHeight="1">
      <c r="C8" s="81" t="inlineStr">
        <is>
          <t xml:space="preserve">        Remboursements achats salariés</t>
        </is>
      </c>
      <c r="D8" s="82">
        <f>BUDGET!D8+BUDGET!E8+BUDGET!F8+BUDGET!G8+BUDGET!H8+BUDGET!I8+BUDGET!J8+BUDGET!K8+BUDGET!L8+BUDGET!M8+BUDGET!N8+BUDGET!O8</f>
        <v/>
      </c>
      <c r="E8" s="82">
        <f>RÉALISÉ!D8+RÉALISÉ!E8+RÉALISÉ!F8+RÉALISÉ!G8+RÉALISÉ!H8+RÉALISÉ!I8+RÉALISÉ!J8+RÉALISÉ!K8+RÉALISÉ!L8+RÉALISÉ!M8+RÉALISÉ!N8+RÉALISÉ!O8</f>
        <v/>
      </c>
      <c r="F8" s="82" t="inlineStr"/>
      <c r="G8" s="74">
        <f>D8-E8</f>
        <v/>
      </c>
      <c r="H8" s="75">
        <f>IF(D8&lt;&gt;0,E8/D8,"")</f>
        <v/>
      </c>
      <c r="I8" s="76">
        <f>IF(D8=0,"—",IF(H8&gt;=1.1,"🔴 Dépassé",IF(H8&gt;=0.9,"🟠 Attention",IF(H8&gt;=0.5,"🟢 OK","🔵 En cours"))))</f>
        <v/>
      </c>
      <c r="J8" s="77">
        <f>BUDGET!D8</f>
        <v/>
      </c>
      <c r="K8" s="77">
        <f>RÉALISÉ!D8</f>
        <v/>
      </c>
      <c r="L8" s="77">
        <f>K8-J8</f>
        <v/>
      </c>
      <c r="M8" s="77">
        <f>BUDGET!E8</f>
        <v/>
      </c>
      <c r="N8" s="77">
        <f>RÉALISÉ!E8</f>
        <v/>
      </c>
      <c r="O8" s="77">
        <f>N8-M8</f>
        <v/>
      </c>
      <c r="P8" s="77">
        <f>BUDGET!F8</f>
        <v/>
      </c>
      <c r="Q8" s="77">
        <f>RÉALISÉ!F8</f>
        <v/>
      </c>
      <c r="R8" s="77">
        <f>Q8-P8</f>
        <v/>
      </c>
      <c r="S8" s="78">
        <f>BUDGET!G8</f>
        <v/>
      </c>
      <c r="T8" s="78">
        <f>RÉALISÉ!G8</f>
        <v/>
      </c>
      <c r="U8" s="78">
        <f>T8-S8</f>
        <v/>
      </c>
      <c r="V8" s="78">
        <f>BUDGET!H8</f>
        <v/>
      </c>
      <c r="W8" s="78">
        <f>RÉALISÉ!H8</f>
        <v/>
      </c>
      <c r="X8" s="78">
        <f>W8-V8</f>
        <v/>
      </c>
      <c r="Y8" s="78">
        <f>BUDGET!I8</f>
        <v/>
      </c>
      <c r="Z8" s="78">
        <f>RÉALISÉ!I8</f>
        <v/>
      </c>
      <c r="AA8" s="78">
        <f>Z8-Y8</f>
        <v/>
      </c>
      <c r="AB8" s="78">
        <f>BUDGET!J8</f>
        <v/>
      </c>
      <c r="AC8" s="78">
        <f>RÉALISÉ!J8</f>
        <v/>
      </c>
      <c r="AD8" s="78">
        <f>AC8-AB8</f>
        <v/>
      </c>
      <c r="AE8" s="78">
        <f>BUDGET!K8</f>
        <v/>
      </c>
      <c r="AF8" s="78">
        <f>RÉALISÉ!K8</f>
        <v/>
      </c>
      <c r="AG8" s="78">
        <f>AF8-AE8</f>
        <v/>
      </c>
      <c r="AH8" s="78">
        <f>BUDGET!L8</f>
        <v/>
      </c>
      <c r="AI8" s="78">
        <f>RÉALISÉ!L8</f>
        <v/>
      </c>
      <c r="AJ8" s="78">
        <f>AI8-AH8</f>
        <v/>
      </c>
      <c r="AK8" s="78">
        <f>BUDGET!M8</f>
        <v/>
      </c>
      <c r="AL8" s="78">
        <f>RÉALISÉ!M8</f>
        <v/>
      </c>
      <c r="AM8" s="78">
        <f>AL8-AK8</f>
        <v/>
      </c>
      <c r="AN8" s="78">
        <f>BUDGET!N8</f>
        <v/>
      </c>
      <c r="AO8" s="78">
        <f>RÉALISÉ!N8</f>
        <v/>
      </c>
      <c r="AP8" s="78">
        <f>AO8-AN8</f>
        <v/>
      </c>
      <c r="AQ8" s="78">
        <f>BUDGET!O8</f>
        <v/>
      </c>
      <c r="AR8" s="78">
        <f>RÉALISÉ!O8</f>
        <v/>
      </c>
      <c r="AS8" s="78">
        <f>AR8-AQ8</f>
        <v/>
      </c>
    </row>
    <row r="9" ht="18" customHeight="1">
      <c r="C9" s="83" t="inlineStr">
        <is>
          <t xml:space="preserve">    Entrées non catégorisées</t>
        </is>
      </c>
      <c r="D9" s="84">
        <f>BUDGET!D9+BUDGET!E9+BUDGET!F9+BUDGET!G9+BUDGET!H9+BUDGET!I9+BUDGET!J9+BUDGET!K9+BUDGET!L9+BUDGET!M9+BUDGET!N9+BUDGET!O9</f>
        <v/>
      </c>
      <c r="E9" s="84">
        <f>RÉALISÉ!D9+RÉALISÉ!E9+RÉALISÉ!F9+RÉALISÉ!G9+RÉALISÉ!H9+RÉALISÉ!I9+RÉALISÉ!J9+RÉALISÉ!K9+RÉALISÉ!L9+RÉALISÉ!M9+RÉALISÉ!N9+RÉALISÉ!O9</f>
        <v/>
      </c>
      <c r="F9" s="84" t="inlineStr"/>
      <c r="G9" s="74">
        <f>D9-E9</f>
        <v/>
      </c>
      <c r="H9" s="75">
        <f>IF(D9&lt;&gt;0,E9/D9,"")</f>
        <v/>
      </c>
      <c r="I9" s="76">
        <f>IF(D9=0,"—",IF(H9&gt;=1.1,"🔴 Dépassé",IF(H9&gt;=0.9,"🟠 Attention",IF(H9&gt;=0.5,"🟢 OK","🔵 En cours"))))</f>
        <v/>
      </c>
      <c r="J9" s="77">
        <f>BUDGET!D9</f>
        <v/>
      </c>
      <c r="K9" s="77">
        <f>RÉALISÉ!D9</f>
        <v/>
      </c>
      <c r="L9" s="77">
        <f>K9-J9</f>
        <v/>
      </c>
      <c r="M9" s="77">
        <f>BUDGET!E9</f>
        <v/>
      </c>
      <c r="N9" s="77">
        <f>RÉALISÉ!E9</f>
        <v/>
      </c>
      <c r="O9" s="77">
        <f>N9-M9</f>
        <v/>
      </c>
      <c r="P9" s="77">
        <f>BUDGET!F9</f>
        <v/>
      </c>
      <c r="Q9" s="77">
        <f>RÉALISÉ!F9</f>
        <v/>
      </c>
      <c r="R9" s="77">
        <f>Q9-P9</f>
        <v/>
      </c>
      <c r="S9" s="78">
        <f>BUDGET!G9</f>
        <v/>
      </c>
      <c r="T9" s="78">
        <f>RÉALISÉ!G9</f>
        <v/>
      </c>
      <c r="U9" s="78">
        <f>T9-S9</f>
        <v/>
      </c>
      <c r="V9" s="78">
        <f>BUDGET!H9</f>
        <v/>
      </c>
      <c r="W9" s="78">
        <f>RÉALISÉ!H9</f>
        <v/>
      </c>
      <c r="X9" s="78">
        <f>W9-V9</f>
        <v/>
      </c>
      <c r="Y9" s="78">
        <f>BUDGET!I9</f>
        <v/>
      </c>
      <c r="Z9" s="78">
        <f>RÉALISÉ!I9</f>
        <v/>
      </c>
      <c r="AA9" s="78">
        <f>Z9-Y9</f>
        <v/>
      </c>
      <c r="AB9" s="78">
        <f>BUDGET!J9</f>
        <v/>
      </c>
      <c r="AC9" s="78">
        <f>RÉALISÉ!J9</f>
        <v/>
      </c>
      <c r="AD9" s="78">
        <f>AC9-AB9</f>
        <v/>
      </c>
      <c r="AE9" s="78">
        <f>BUDGET!K9</f>
        <v/>
      </c>
      <c r="AF9" s="78">
        <f>RÉALISÉ!K9</f>
        <v/>
      </c>
      <c r="AG9" s="78">
        <f>AF9-AE9</f>
        <v/>
      </c>
      <c r="AH9" s="78">
        <f>BUDGET!L9</f>
        <v/>
      </c>
      <c r="AI9" s="78">
        <f>RÉALISÉ!L9</f>
        <v/>
      </c>
      <c r="AJ9" s="78">
        <f>AI9-AH9</f>
        <v/>
      </c>
      <c r="AK9" s="78">
        <f>BUDGET!M9</f>
        <v/>
      </c>
      <c r="AL9" s="78">
        <f>RÉALISÉ!M9</f>
        <v/>
      </c>
      <c r="AM9" s="78">
        <f>AL9-AK9</f>
        <v/>
      </c>
      <c r="AN9" s="78">
        <f>BUDGET!N9</f>
        <v/>
      </c>
      <c r="AO9" s="78">
        <f>RÉALISÉ!N9</f>
        <v/>
      </c>
      <c r="AP9" s="78">
        <f>AO9-AN9</f>
        <v/>
      </c>
      <c r="AQ9" s="78">
        <f>BUDGET!O9</f>
        <v/>
      </c>
      <c r="AR9" s="78">
        <f>RÉALISÉ!O9</f>
        <v/>
      </c>
      <c r="AS9" s="78">
        <f>AR9-AQ9</f>
        <v/>
      </c>
    </row>
    <row r="10" ht="18" customHeight="1">
      <c r="C10" s="72" t="inlineStr">
        <is>
          <t xml:space="preserve">    Remboursement de TVA</t>
        </is>
      </c>
      <c r="D10" s="73">
        <f>BUDGET!D10+BUDGET!E10+BUDGET!F10+BUDGET!G10+BUDGET!H10+BUDGET!I10+BUDGET!J10+BUDGET!K10+BUDGET!L10+BUDGET!M10+BUDGET!N10+BUDGET!O10</f>
        <v/>
      </c>
      <c r="E10" s="73">
        <f>RÉALISÉ!D10+RÉALISÉ!E10+RÉALISÉ!F10+RÉALISÉ!G10+RÉALISÉ!H10+RÉALISÉ!I10+RÉALISÉ!J10+RÉALISÉ!K10+RÉALISÉ!L10+RÉALISÉ!M10+RÉALISÉ!N10+RÉALISÉ!O10</f>
        <v/>
      </c>
      <c r="F10" s="73" t="inlineStr"/>
      <c r="G10" s="74">
        <f>D10-E10</f>
        <v/>
      </c>
      <c r="H10" s="75">
        <f>IF(D10&lt;&gt;0,E10/D10,"")</f>
        <v/>
      </c>
      <c r="I10" s="76">
        <f>IF(D10=0,"—",IF(H10&gt;=1.1,"🔴 Dépassé",IF(H10&gt;=0.9,"🟠 Attention",IF(H10&gt;=0.5,"🟢 OK","🔵 En cours"))))</f>
        <v/>
      </c>
      <c r="J10" s="77">
        <f>BUDGET!D10</f>
        <v/>
      </c>
      <c r="K10" s="77">
        <f>RÉALISÉ!D10</f>
        <v/>
      </c>
      <c r="L10" s="77">
        <f>K10-J10</f>
        <v/>
      </c>
      <c r="M10" s="77">
        <f>BUDGET!E10</f>
        <v/>
      </c>
      <c r="N10" s="77">
        <f>RÉALISÉ!E10</f>
        <v/>
      </c>
      <c r="O10" s="77">
        <f>N10-M10</f>
        <v/>
      </c>
      <c r="P10" s="77">
        <f>BUDGET!F10</f>
        <v/>
      </c>
      <c r="Q10" s="77">
        <f>RÉALISÉ!F10</f>
        <v/>
      </c>
      <c r="R10" s="77">
        <f>Q10-P10</f>
        <v/>
      </c>
      <c r="S10" s="78">
        <f>BUDGET!G10</f>
        <v/>
      </c>
      <c r="T10" s="78">
        <f>RÉALISÉ!G10</f>
        <v/>
      </c>
      <c r="U10" s="78">
        <f>T10-S10</f>
        <v/>
      </c>
      <c r="V10" s="78">
        <f>BUDGET!H10</f>
        <v/>
      </c>
      <c r="W10" s="78">
        <f>RÉALISÉ!H10</f>
        <v/>
      </c>
      <c r="X10" s="78">
        <f>W10-V10</f>
        <v/>
      </c>
      <c r="Y10" s="78">
        <f>BUDGET!I10</f>
        <v/>
      </c>
      <c r="Z10" s="78">
        <f>RÉALISÉ!I10</f>
        <v/>
      </c>
      <c r="AA10" s="78">
        <f>Z10-Y10</f>
        <v/>
      </c>
      <c r="AB10" s="78">
        <f>BUDGET!J10</f>
        <v/>
      </c>
      <c r="AC10" s="78">
        <f>RÉALISÉ!J10</f>
        <v/>
      </c>
      <c r="AD10" s="78">
        <f>AC10-AB10</f>
        <v/>
      </c>
      <c r="AE10" s="78">
        <f>BUDGET!K10</f>
        <v/>
      </c>
      <c r="AF10" s="78">
        <f>RÉALISÉ!K10</f>
        <v/>
      </c>
      <c r="AG10" s="78">
        <f>AF10-AE10</f>
        <v/>
      </c>
      <c r="AH10" s="78">
        <f>BUDGET!L10</f>
        <v/>
      </c>
      <c r="AI10" s="78">
        <f>RÉALISÉ!L10</f>
        <v/>
      </c>
      <c r="AJ10" s="78">
        <f>AI10-AH10</f>
        <v/>
      </c>
      <c r="AK10" s="78">
        <f>BUDGET!M10</f>
        <v/>
      </c>
      <c r="AL10" s="78">
        <f>RÉALISÉ!M10</f>
        <v/>
      </c>
      <c r="AM10" s="78">
        <f>AL10-AK10</f>
        <v/>
      </c>
      <c r="AN10" s="78">
        <f>BUDGET!N10</f>
        <v/>
      </c>
      <c r="AO10" s="78">
        <f>RÉALISÉ!N10</f>
        <v/>
      </c>
      <c r="AP10" s="78">
        <f>AO10-AN10</f>
        <v/>
      </c>
      <c r="AQ10" s="78">
        <f>BUDGET!O10</f>
        <v/>
      </c>
      <c r="AR10" s="78">
        <f>RÉALISÉ!O10</f>
        <v/>
      </c>
      <c r="AS10" s="78">
        <f>AR10-AQ10</f>
        <v/>
      </c>
    </row>
    <row r="11" ht="18" customHeight="1">
      <c r="C11" s="67" t="inlineStr">
        <is>
          <t>SORTIES</t>
        </is>
      </c>
      <c r="D11" s="68">
        <f>BUDGET!D11+BUDGET!E11+BUDGET!F11+BUDGET!G11+BUDGET!H11+BUDGET!I11+BUDGET!J11+BUDGET!K11+BUDGET!L11+BUDGET!M11+BUDGET!N11+BUDGET!O11</f>
        <v/>
      </c>
      <c r="E11" s="68">
        <f>RÉALISÉ!D11+RÉALISÉ!E11+RÉALISÉ!F11+RÉALISÉ!G11+RÉALISÉ!H11+RÉALISÉ!I11+RÉALISÉ!J11+RÉALISÉ!K11+RÉALISÉ!L11+RÉALISÉ!M11+RÉALISÉ!N11+RÉALISÉ!O11</f>
        <v/>
      </c>
      <c r="F11" s="69" t="inlineStr"/>
      <c r="G11" s="68">
        <f>D11-E11</f>
        <v/>
      </c>
      <c r="H11" s="70">
        <f>IF(D11&lt;&gt;0,E11/D11,"")</f>
        <v/>
      </c>
      <c r="I11" s="71" t="inlineStr"/>
      <c r="J11" s="68">
        <f>BUDGET!D11</f>
        <v/>
      </c>
      <c r="K11" s="68">
        <f>RÉALISÉ!D11</f>
        <v/>
      </c>
      <c r="L11" s="68">
        <f>K11-J11</f>
        <v/>
      </c>
      <c r="M11" s="68">
        <f>BUDGET!E11</f>
        <v/>
      </c>
      <c r="N11" s="68">
        <f>RÉALISÉ!E11</f>
        <v/>
      </c>
      <c r="O11" s="68">
        <f>N11-M11</f>
        <v/>
      </c>
      <c r="P11" s="68">
        <f>BUDGET!F11</f>
        <v/>
      </c>
      <c r="Q11" s="68">
        <f>RÉALISÉ!F11</f>
        <v/>
      </c>
      <c r="R11" s="68">
        <f>Q11-P11</f>
        <v/>
      </c>
      <c r="S11" s="68">
        <f>BUDGET!G11</f>
        <v/>
      </c>
      <c r="T11" s="68">
        <f>RÉALISÉ!G11</f>
        <v/>
      </c>
      <c r="U11" s="68">
        <f>T11-S11</f>
        <v/>
      </c>
      <c r="V11" s="68">
        <f>BUDGET!H11</f>
        <v/>
      </c>
      <c r="W11" s="68">
        <f>RÉALISÉ!H11</f>
        <v/>
      </c>
      <c r="X11" s="68">
        <f>W11-V11</f>
        <v/>
      </c>
      <c r="Y11" s="68">
        <f>BUDGET!I11</f>
        <v/>
      </c>
      <c r="Z11" s="68">
        <f>RÉALISÉ!I11</f>
        <v/>
      </c>
      <c r="AA11" s="68">
        <f>Z11-Y11</f>
        <v/>
      </c>
      <c r="AB11" s="68">
        <f>BUDGET!J11</f>
        <v/>
      </c>
      <c r="AC11" s="68">
        <f>RÉALISÉ!J11</f>
        <v/>
      </c>
      <c r="AD11" s="68">
        <f>AC11-AB11</f>
        <v/>
      </c>
      <c r="AE11" s="68">
        <f>BUDGET!K11</f>
        <v/>
      </c>
      <c r="AF11" s="68">
        <f>RÉALISÉ!K11</f>
        <v/>
      </c>
      <c r="AG11" s="68">
        <f>AF11-AE11</f>
        <v/>
      </c>
      <c r="AH11" s="68">
        <f>BUDGET!L11</f>
        <v/>
      </c>
      <c r="AI11" s="68">
        <f>RÉALISÉ!L11</f>
        <v/>
      </c>
      <c r="AJ11" s="68">
        <f>AI11-AH11</f>
        <v/>
      </c>
      <c r="AK11" s="68">
        <f>BUDGET!M11</f>
        <v/>
      </c>
      <c r="AL11" s="68">
        <f>RÉALISÉ!M11</f>
        <v/>
      </c>
      <c r="AM11" s="68">
        <f>AL11-AK11</f>
        <v/>
      </c>
      <c r="AN11" s="68">
        <f>BUDGET!N11</f>
        <v/>
      </c>
      <c r="AO11" s="68">
        <f>RÉALISÉ!N11</f>
        <v/>
      </c>
      <c r="AP11" s="68">
        <f>AO11-AN11</f>
        <v/>
      </c>
      <c r="AQ11" s="68">
        <f>BUDGET!O11</f>
        <v/>
      </c>
      <c r="AR11" s="68">
        <f>RÉALISÉ!O11</f>
        <v/>
      </c>
      <c r="AS11" s="68">
        <f>AR11-AQ11</f>
        <v/>
      </c>
    </row>
    <row r="12" ht="18" customHeight="1">
      <c r="C12" s="72" t="inlineStr">
        <is>
          <t xml:space="preserve">    Achat Billets</t>
        </is>
      </c>
      <c r="D12" s="73">
        <f>BUDGET!D12+BUDGET!E12+BUDGET!F12+BUDGET!G12+BUDGET!H12+BUDGET!I12+BUDGET!J12+BUDGET!K12+BUDGET!L12+BUDGET!M12+BUDGET!N12+BUDGET!O12</f>
        <v/>
      </c>
      <c r="E12" s="73">
        <f>RÉALISÉ!D12+RÉALISÉ!E12+RÉALISÉ!F12+RÉALISÉ!G12+RÉALISÉ!H12+RÉALISÉ!I12+RÉALISÉ!J12+RÉALISÉ!K12+RÉALISÉ!L12+RÉALISÉ!M12+RÉALISÉ!N12+RÉALISÉ!O12</f>
        <v/>
      </c>
      <c r="F12" s="73" t="inlineStr"/>
      <c r="G12" s="74">
        <f>D12-E12</f>
        <v/>
      </c>
      <c r="H12" s="75">
        <f>IF(D12&lt;&gt;0,E12/D12,"")</f>
        <v/>
      </c>
      <c r="I12" s="76">
        <f>IF(D12=0,"—",IF(H12&gt;=1.1,"🔴 Dépassé",IF(H12&gt;=0.9,"🟠 Attention",IF(H12&gt;=0.5,"🟢 OK","🔵 En cours"))))</f>
        <v/>
      </c>
      <c r="J12" s="77">
        <f>BUDGET!D12</f>
        <v/>
      </c>
      <c r="K12" s="77">
        <f>RÉALISÉ!D12</f>
        <v/>
      </c>
      <c r="L12" s="77">
        <f>K12-J12</f>
        <v/>
      </c>
      <c r="M12" s="77">
        <f>BUDGET!E12</f>
        <v/>
      </c>
      <c r="N12" s="77">
        <f>RÉALISÉ!E12</f>
        <v/>
      </c>
      <c r="O12" s="77">
        <f>N12-M12</f>
        <v/>
      </c>
      <c r="P12" s="77">
        <f>BUDGET!F12</f>
        <v/>
      </c>
      <c r="Q12" s="77">
        <f>RÉALISÉ!F12</f>
        <v/>
      </c>
      <c r="R12" s="77">
        <f>Q12-P12</f>
        <v/>
      </c>
      <c r="S12" s="78">
        <f>BUDGET!G12</f>
        <v/>
      </c>
      <c r="T12" s="78">
        <f>RÉALISÉ!G12</f>
        <v/>
      </c>
      <c r="U12" s="78">
        <f>T12-S12</f>
        <v/>
      </c>
      <c r="V12" s="78">
        <f>BUDGET!H12</f>
        <v/>
      </c>
      <c r="W12" s="78">
        <f>RÉALISÉ!H12</f>
        <v/>
      </c>
      <c r="X12" s="78">
        <f>W12-V12</f>
        <v/>
      </c>
      <c r="Y12" s="78">
        <f>BUDGET!I12</f>
        <v/>
      </c>
      <c r="Z12" s="78">
        <f>RÉALISÉ!I12</f>
        <v/>
      </c>
      <c r="AA12" s="78">
        <f>Z12-Y12</f>
        <v/>
      </c>
      <c r="AB12" s="78">
        <f>BUDGET!J12</f>
        <v/>
      </c>
      <c r="AC12" s="78">
        <f>RÉALISÉ!J12</f>
        <v/>
      </c>
      <c r="AD12" s="78">
        <f>AC12-AB12</f>
        <v/>
      </c>
      <c r="AE12" s="78">
        <f>BUDGET!K12</f>
        <v/>
      </c>
      <c r="AF12" s="78">
        <f>RÉALISÉ!K12</f>
        <v/>
      </c>
      <c r="AG12" s="78">
        <f>AF12-AE12</f>
        <v/>
      </c>
      <c r="AH12" s="78">
        <f>BUDGET!L12</f>
        <v/>
      </c>
      <c r="AI12" s="78">
        <f>RÉALISÉ!L12</f>
        <v/>
      </c>
      <c r="AJ12" s="78">
        <f>AI12-AH12</f>
        <v/>
      </c>
      <c r="AK12" s="78">
        <f>BUDGET!M12</f>
        <v/>
      </c>
      <c r="AL12" s="78">
        <f>RÉALISÉ!M12</f>
        <v/>
      </c>
      <c r="AM12" s="78">
        <f>AL12-AK12</f>
        <v/>
      </c>
      <c r="AN12" s="78">
        <f>BUDGET!N12</f>
        <v/>
      </c>
      <c r="AO12" s="78">
        <f>RÉALISÉ!N12</f>
        <v/>
      </c>
      <c r="AP12" s="78">
        <f>AO12-AN12</f>
        <v/>
      </c>
      <c r="AQ12" s="78">
        <f>BUDGET!O12</f>
        <v/>
      </c>
      <c r="AR12" s="78">
        <f>RÉALISÉ!O12</f>
        <v/>
      </c>
      <c r="AS12" s="78">
        <f>AR12-AQ12</f>
        <v/>
      </c>
    </row>
    <row r="13" ht="18" customHeight="1">
      <c r="C13" s="79" t="inlineStr">
        <is>
          <t xml:space="preserve">        Europapark &amp; Rulantica</t>
        </is>
      </c>
      <c r="D13" s="80">
        <f>BUDGET!D13+BUDGET!E13+BUDGET!F13+BUDGET!G13+BUDGET!H13+BUDGET!I13+BUDGET!J13+BUDGET!K13+BUDGET!L13+BUDGET!M13+BUDGET!N13+BUDGET!O13</f>
        <v/>
      </c>
      <c r="E13" s="80">
        <f>RÉALISÉ!D13+RÉALISÉ!E13+RÉALISÉ!F13+RÉALISÉ!G13+RÉALISÉ!H13+RÉALISÉ!I13+RÉALISÉ!J13+RÉALISÉ!K13+RÉALISÉ!L13+RÉALISÉ!M13+RÉALISÉ!N13+RÉALISÉ!O13</f>
        <v/>
      </c>
      <c r="F13" s="80" t="inlineStr"/>
      <c r="G13" s="74">
        <f>D13-E13</f>
        <v/>
      </c>
      <c r="H13" s="75">
        <f>IF(D13&lt;&gt;0,E13/D13,"")</f>
        <v/>
      </c>
      <c r="I13" s="76">
        <f>IF(D13=0,"—",IF(H13&gt;=1.1,"🔴 Dépassé",IF(H13&gt;=0.9,"🟠 Attention",IF(H13&gt;=0.5,"🟢 OK","🔵 En cours"))))</f>
        <v/>
      </c>
      <c r="J13" s="77">
        <f>BUDGET!D13</f>
        <v/>
      </c>
      <c r="K13" s="77">
        <f>RÉALISÉ!D13</f>
        <v/>
      </c>
      <c r="L13" s="77">
        <f>K13-J13</f>
        <v/>
      </c>
      <c r="M13" s="77">
        <f>BUDGET!E13</f>
        <v/>
      </c>
      <c r="N13" s="77">
        <f>RÉALISÉ!E13</f>
        <v/>
      </c>
      <c r="O13" s="77">
        <f>N13-M13</f>
        <v/>
      </c>
      <c r="P13" s="77">
        <f>BUDGET!F13</f>
        <v/>
      </c>
      <c r="Q13" s="77">
        <f>RÉALISÉ!F13</f>
        <v/>
      </c>
      <c r="R13" s="77">
        <f>Q13-P13</f>
        <v/>
      </c>
      <c r="S13" s="78">
        <f>BUDGET!G13</f>
        <v/>
      </c>
      <c r="T13" s="78">
        <f>RÉALISÉ!G13</f>
        <v/>
      </c>
      <c r="U13" s="78">
        <f>T13-S13</f>
        <v/>
      </c>
      <c r="V13" s="78">
        <f>BUDGET!H13</f>
        <v/>
      </c>
      <c r="W13" s="78">
        <f>RÉALISÉ!H13</f>
        <v/>
      </c>
      <c r="X13" s="78">
        <f>W13-V13</f>
        <v/>
      </c>
      <c r="Y13" s="78">
        <f>BUDGET!I13</f>
        <v/>
      </c>
      <c r="Z13" s="78">
        <f>RÉALISÉ!I13</f>
        <v/>
      </c>
      <c r="AA13" s="78">
        <f>Z13-Y13</f>
        <v/>
      </c>
      <c r="AB13" s="78">
        <f>BUDGET!J13</f>
        <v/>
      </c>
      <c r="AC13" s="78">
        <f>RÉALISÉ!J13</f>
        <v/>
      </c>
      <c r="AD13" s="78">
        <f>AC13-AB13</f>
        <v/>
      </c>
      <c r="AE13" s="78">
        <f>BUDGET!K13</f>
        <v/>
      </c>
      <c r="AF13" s="78">
        <f>RÉALISÉ!K13</f>
        <v/>
      </c>
      <c r="AG13" s="78">
        <f>AF13-AE13</f>
        <v/>
      </c>
      <c r="AH13" s="78">
        <f>BUDGET!L13</f>
        <v/>
      </c>
      <c r="AI13" s="78">
        <f>RÉALISÉ!L13</f>
        <v/>
      </c>
      <c r="AJ13" s="78">
        <f>AI13-AH13</f>
        <v/>
      </c>
      <c r="AK13" s="78">
        <f>BUDGET!M13</f>
        <v/>
      </c>
      <c r="AL13" s="78">
        <f>RÉALISÉ!M13</f>
        <v/>
      </c>
      <c r="AM13" s="78">
        <f>AL13-AK13</f>
        <v/>
      </c>
      <c r="AN13" s="78">
        <f>BUDGET!N13</f>
        <v/>
      </c>
      <c r="AO13" s="78">
        <f>RÉALISÉ!N13</f>
        <v/>
      </c>
      <c r="AP13" s="78">
        <f>AO13-AN13</f>
        <v/>
      </c>
      <c r="AQ13" s="78">
        <f>BUDGET!O13</f>
        <v/>
      </c>
      <c r="AR13" s="78">
        <f>RÉALISÉ!O13</f>
        <v/>
      </c>
      <c r="AS13" s="78">
        <f>AR13-AQ13</f>
        <v/>
      </c>
    </row>
    <row r="14" ht="18" customHeight="1">
      <c r="C14" s="81" t="inlineStr">
        <is>
          <t xml:space="preserve">        Speedpark</t>
        </is>
      </c>
      <c r="D14" s="82">
        <f>BUDGET!D14+BUDGET!E14+BUDGET!F14+BUDGET!G14+BUDGET!H14+BUDGET!I14+BUDGET!J14+BUDGET!K14+BUDGET!L14+BUDGET!M14+BUDGET!N14+BUDGET!O14</f>
        <v/>
      </c>
      <c r="E14" s="82">
        <f>RÉALISÉ!D14+RÉALISÉ!E14+RÉALISÉ!F14+RÉALISÉ!G14+RÉALISÉ!H14+RÉALISÉ!I14+RÉALISÉ!J14+RÉALISÉ!K14+RÉALISÉ!L14+RÉALISÉ!M14+RÉALISÉ!N14+RÉALISÉ!O14</f>
        <v/>
      </c>
      <c r="F14" s="82" t="inlineStr"/>
      <c r="G14" s="74">
        <f>D14-E14</f>
        <v/>
      </c>
      <c r="H14" s="75">
        <f>IF(D14&lt;&gt;0,E14/D14,"")</f>
        <v/>
      </c>
      <c r="I14" s="76">
        <f>IF(D14=0,"—",IF(H14&gt;=1.1,"🔴 Dépassé",IF(H14&gt;=0.9,"🟠 Attention",IF(H14&gt;=0.5,"🟢 OK","🔵 En cours"))))</f>
        <v/>
      </c>
      <c r="J14" s="77">
        <f>BUDGET!D14</f>
        <v/>
      </c>
      <c r="K14" s="77">
        <f>RÉALISÉ!D14</f>
        <v/>
      </c>
      <c r="L14" s="77">
        <f>K14-J14</f>
        <v/>
      </c>
      <c r="M14" s="77">
        <f>BUDGET!E14</f>
        <v/>
      </c>
      <c r="N14" s="77">
        <f>RÉALISÉ!E14</f>
        <v/>
      </c>
      <c r="O14" s="77">
        <f>N14-M14</f>
        <v/>
      </c>
      <c r="P14" s="77">
        <f>BUDGET!F14</f>
        <v/>
      </c>
      <c r="Q14" s="77">
        <f>RÉALISÉ!F14</f>
        <v/>
      </c>
      <c r="R14" s="77">
        <f>Q14-P14</f>
        <v/>
      </c>
      <c r="S14" s="78">
        <f>BUDGET!G14</f>
        <v/>
      </c>
      <c r="T14" s="78">
        <f>RÉALISÉ!G14</f>
        <v/>
      </c>
      <c r="U14" s="78">
        <f>T14-S14</f>
        <v/>
      </c>
      <c r="V14" s="78">
        <f>BUDGET!H14</f>
        <v/>
      </c>
      <c r="W14" s="78">
        <f>RÉALISÉ!H14</f>
        <v/>
      </c>
      <c r="X14" s="78">
        <f>W14-V14</f>
        <v/>
      </c>
      <c r="Y14" s="78">
        <f>BUDGET!I14</f>
        <v/>
      </c>
      <c r="Z14" s="78">
        <f>RÉALISÉ!I14</f>
        <v/>
      </c>
      <c r="AA14" s="78">
        <f>Z14-Y14</f>
        <v/>
      </c>
      <c r="AB14" s="78">
        <f>BUDGET!J14</f>
        <v/>
      </c>
      <c r="AC14" s="78">
        <f>RÉALISÉ!J14</f>
        <v/>
      </c>
      <c r="AD14" s="78">
        <f>AC14-AB14</f>
        <v/>
      </c>
      <c r="AE14" s="78">
        <f>BUDGET!K14</f>
        <v/>
      </c>
      <c r="AF14" s="78">
        <f>RÉALISÉ!K14</f>
        <v/>
      </c>
      <c r="AG14" s="78">
        <f>AF14-AE14</f>
        <v/>
      </c>
      <c r="AH14" s="78">
        <f>BUDGET!L14</f>
        <v/>
      </c>
      <c r="AI14" s="78">
        <f>RÉALISÉ!L14</f>
        <v/>
      </c>
      <c r="AJ14" s="78">
        <f>AI14-AH14</f>
        <v/>
      </c>
      <c r="AK14" s="78">
        <f>BUDGET!M14</f>
        <v/>
      </c>
      <c r="AL14" s="78">
        <f>RÉALISÉ!M14</f>
        <v/>
      </c>
      <c r="AM14" s="78">
        <f>AL14-AK14</f>
        <v/>
      </c>
      <c r="AN14" s="78">
        <f>BUDGET!N14</f>
        <v/>
      </c>
      <c r="AO14" s="78">
        <f>RÉALISÉ!N14</f>
        <v/>
      </c>
      <c r="AP14" s="78">
        <f>AO14-AN14</f>
        <v/>
      </c>
      <c r="AQ14" s="78">
        <f>BUDGET!O14</f>
        <v/>
      </c>
      <c r="AR14" s="78">
        <f>RÉALISÉ!O14</f>
        <v/>
      </c>
      <c r="AS14" s="78">
        <f>AR14-AQ14</f>
        <v/>
      </c>
    </row>
    <row r="15" ht="18" customHeight="1">
      <c r="C15" s="79" t="inlineStr">
        <is>
          <t xml:space="preserve">        Saint-Croix</t>
        </is>
      </c>
      <c r="D15" s="80">
        <f>BUDGET!D15+BUDGET!E15+BUDGET!F15+BUDGET!G15+BUDGET!H15+BUDGET!I15+BUDGET!J15+BUDGET!K15+BUDGET!L15+BUDGET!M15+BUDGET!N15+BUDGET!O15</f>
        <v/>
      </c>
      <c r="E15" s="80">
        <f>RÉALISÉ!D15+RÉALISÉ!E15+RÉALISÉ!F15+RÉALISÉ!G15+RÉALISÉ!H15+RÉALISÉ!I15+RÉALISÉ!J15+RÉALISÉ!K15+RÉALISÉ!L15+RÉALISÉ!M15+RÉALISÉ!N15+RÉALISÉ!O15</f>
        <v/>
      </c>
      <c r="F15" s="80" t="inlineStr"/>
      <c r="G15" s="74">
        <f>D15-E15</f>
        <v/>
      </c>
      <c r="H15" s="75">
        <f>IF(D15&lt;&gt;0,E15/D15,"")</f>
        <v/>
      </c>
      <c r="I15" s="76">
        <f>IF(D15=0,"—",IF(H15&gt;=1.1,"🔴 Dépassé",IF(H15&gt;=0.9,"🟠 Attention",IF(H15&gt;=0.5,"🟢 OK","🔵 En cours"))))</f>
        <v/>
      </c>
      <c r="J15" s="77">
        <f>BUDGET!D15</f>
        <v/>
      </c>
      <c r="K15" s="77">
        <f>RÉALISÉ!D15</f>
        <v/>
      </c>
      <c r="L15" s="77">
        <f>K15-J15</f>
        <v/>
      </c>
      <c r="M15" s="77">
        <f>BUDGET!E15</f>
        <v/>
      </c>
      <c r="N15" s="77">
        <f>RÉALISÉ!E15</f>
        <v/>
      </c>
      <c r="O15" s="77">
        <f>N15-M15</f>
        <v/>
      </c>
      <c r="P15" s="77">
        <f>BUDGET!F15</f>
        <v/>
      </c>
      <c r="Q15" s="77">
        <f>RÉALISÉ!F15</f>
        <v/>
      </c>
      <c r="R15" s="77">
        <f>Q15-P15</f>
        <v/>
      </c>
      <c r="S15" s="78">
        <f>BUDGET!G15</f>
        <v/>
      </c>
      <c r="T15" s="78">
        <f>RÉALISÉ!G15</f>
        <v/>
      </c>
      <c r="U15" s="78">
        <f>T15-S15</f>
        <v/>
      </c>
      <c r="V15" s="78">
        <f>BUDGET!H15</f>
        <v/>
      </c>
      <c r="W15" s="78">
        <f>RÉALISÉ!H15</f>
        <v/>
      </c>
      <c r="X15" s="78">
        <f>W15-V15</f>
        <v/>
      </c>
      <c r="Y15" s="78">
        <f>BUDGET!I15</f>
        <v/>
      </c>
      <c r="Z15" s="78">
        <f>RÉALISÉ!I15</f>
        <v/>
      </c>
      <c r="AA15" s="78">
        <f>Z15-Y15</f>
        <v/>
      </c>
      <c r="AB15" s="78">
        <f>BUDGET!J15</f>
        <v/>
      </c>
      <c r="AC15" s="78">
        <f>RÉALISÉ!J15</f>
        <v/>
      </c>
      <c r="AD15" s="78">
        <f>AC15-AB15</f>
        <v/>
      </c>
      <c r="AE15" s="78">
        <f>BUDGET!K15</f>
        <v/>
      </c>
      <c r="AF15" s="78">
        <f>RÉALISÉ!K15</f>
        <v/>
      </c>
      <c r="AG15" s="78">
        <f>AF15-AE15</f>
        <v/>
      </c>
      <c r="AH15" s="78">
        <f>BUDGET!L15</f>
        <v/>
      </c>
      <c r="AI15" s="78">
        <f>RÉALISÉ!L15</f>
        <v/>
      </c>
      <c r="AJ15" s="78">
        <f>AI15-AH15</f>
        <v/>
      </c>
      <c r="AK15" s="78">
        <f>BUDGET!M15</f>
        <v/>
      </c>
      <c r="AL15" s="78">
        <f>RÉALISÉ!M15</f>
        <v/>
      </c>
      <c r="AM15" s="78">
        <f>AL15-AK15</f>
        <v/>
      </c>
      <c r="AN15" s="78">
        <f>BUDGET!N15</f>
        <v/>
      </c>
      <c r="AO15" s="78">
        <f>RÉALISÉ!N15</f>
        <v/>
      </c>
      <c r="AP15" s="78">
        <f>AO15-AN15</f>
        <v/>
      </c>
      <c r="AQ15" s="78">
        <f>BUDGET!O15</f>
        <v/>
      </c>
      <c r="AR15" s="78">
        <f>RÉALISÉ!O15</f>
        <v/>
      </c>
      <c r="AS15" s="78">
        <f>AR15-AQ15</f>
        <v/>
      </c>
    </row>
    <row r="16" ht="18" customHeight="1">
      <c r="C16" s="81" t="inlineStr">
        <is>
          <t xml:space="preserve">        Piscines</t>
        </is>
      </c>
      <c r="D16" s="82">
        <f>BUDGET!D16+BUDGET!E16+BUDGET!F16+BUDGET!G16+BUDGET!H16+BUDGET!I16+BUDGET!J16+BUDGET!K16+BUDGET!L16+BUDGET!M16+BUDGET!N16+BUDGET!O16</f>
        <v/>
      </c>
      <c r="E16" s="82">
        <f>RÉALISÉ!D16+RÉALISÉ!E16+RÉALISÉ!F16+RÉALISÉ!G16+RÉALISÉ!H16+RÉALISÉ!I16+RÉALISÉ!J16+RÉALISÉ!K16+RÉALISÉ!L16+RÉALISÉ!M16+RÉALISÉ!N16+RÉALISÉ!O16</f>
        <v/>
      </c>
      <c r="F16" s="82" t="inlineStr"/>
      <c r="G16" s="74">
        <f>D16-E16</f>
        <v/>
      </c>
      <c r="H16" s="75">
        <f>IF(D16&lt;&gt;0,E16/D16,"")</f>
        <v/>
      </c>
      <c r="I16" s="76">
        <f>IF(D16=0,"—",IF(H16&gt;=1.1,"🔴 Dépassé",IF(H16&gt;=0.9,"🟠 Attention",IF(H16&gt;=0.5,"🟢 OK","🔵 En cours"))))</f>
        <v/>
      </c>
      <c r="J16" s="77">
        <f>BUDGET!D16</f>
        <v/>
      </c>
      <c r="K16" s="77">
        <f>RÉALISÉ!D16</f>
        <v/>
      </c>
      <c r="L16" s="77">
        <f>K16-J16</f>
        <v/>
      </c>
      <c r="M16" s="77">
        <f>BUDGET!E16</f>
        <v/>
      </c>
      <c r="N16" s="77">
        <f>RÉALISÉ!E16</f>
        <v/>
      </c>
      <c r="O16" s="77">
        <f>N16-M16</f>
        <v/>
      </c>
      <c r="P16" s="77">
        <f>BUDGET!F16</f>
        <v/>
      </c>
      <c r="Q16" s="77">
        <f>RÉALISÉ!F16</f>
        <v/>
      </c>
      <c r="R16" s="77">
        <f>Q16-P16</f>
        <v/>
      </c>
      <c r="S16" s="78">
        <f>BUDGET!G16</f>
        <v/>
      </c>
      <c r="T16" s="78">
        <f>RÉALISÉ!G16</f>
        <v/>
      </c>
      <c r="U16" s="78">
        <f>T16-S16</f>
        <v/>
      </c>
      <c r="V16" s="78">
        <f>BUDGET!H16</f>
        <v/>
      </c>
      <c r="W16" s="78">
        <f>RÉALISÉ!H16</f>
        <v/>
      </c>
      <c r="X16" s="78">
        <f>W16-V16</f>
        <v/>
      </c>
      <c r="Y16" s="78">
        <f>BUDGET!I16</f>
        <v/>
      </c>
      <c r="Z16" s="78">
        <f>RÉALISÉ!I16</f>
        <v/>
      </c>
      <c r="AA16" s="78">
        <f>Z16-Y16</f>
        <v/>
      </c>
      <c r="AB16" s="78">
        <f>BUDGET!J16</f>
        <v/>
      </c>
      <c r="AC16" s="78">
        <f>RÉALISÉ!J16</f>
        <v/>
      </c>
      <c r="AD16" s="78">
        <f>AC16-AB16</f>
        <v/>
      </c>
      <c r="AE16" s="78">
        <f>BUDGET!K16</f>
        <v/>
      </c>
      <c r="AF16" s="78">
        <f>RÉALISÉ!K16</f>
        <v/>
      </c>
      <c r="AG16" s="78">
        <f>AF16-AE16</f>
        <v/>
      </c>
      <c r="AH16" s="78">
        <f>BUDGET!L16</f>
        <v/>
      </c>
      <c r="AI16" s="78">
        <f>RÉALISÉ!L16</f>
        <v/>
      </c>
      <c r="AJ16" s="78">
        <f>AI16-AH16</f>
        <v/>
      </c>
      <c r="AK16" s="78">
        <f>BUDGET!M16</f>
        <v/>
      </c>
      <c r="AL16" s="78">
        <f>RÉALISÉ!M16</f>
        <v/>
      </c>
      <c r="AM16" s="78">
        <f>AL16-AK16</f>
        <v/>
      </c>
      <c r="AN16" s="78">
        <f>BUDGET!N16</f>
        <v/>
      </c>
      <c r="AO16" s="78">
        <f>RÉALISÉ!N16</f>
        <v/>
      </c>
      <c r="AP16" s="78">
        <f>AO16-AN16</f>
        <v/>
      </c>
      <c r="AQ16" s="78">
        <f>BUDGET!O16</f>
        <v/>
      </c>
      <c r="AR16" s="78">
        <f>RÉALISÉ!O16</f>
        <v/>
      </c>
      <c r="AS16" s="78">
        <f>AR16-AQ16</f>
        <v/>
      </c>
    </row>
    <row r="17" ht="18" customHeight="1">
      <c r="C17" s="79" t="inlineStr">
        <is>
          <t xml:space="preserve">        Parc Amnéville</t>
        </is>
      </c>
      <c r="D17" s="80">
        <f>BUDGET!D17+BUDGET!E17+BUDGET!F17+BUDGET!G17+BUDGET!H17+BUDGET!I17+BUDGET!J17+BUDGET!K17+BUDGET!L17+BUDGET!M17+BUDGET!N17+BUDGET!O17</f>
        <v/>
      </c>
      <c r="E17" s="80">
        <f>RÉALISÉ!D17+RÉALISÉ!E17+RÉALISÉ!F17+RÉALISÉ!G17+RÉALISÉ!H17+RÉALISÉ!I17+RÉALISÉ!J17+RÉALISÉ!K17+RÉALISÉ!L17+RÉALISÉ!M17+RÉALISÉ!N17+RÉALISÉ!O17</f>
        <v/>
      </c>
      <c r="F17" s="80" t="inlineStr"/>
      <c r="G17" s="74">
        <f>D17-E17</f>
        <v/>
      </c>
      <c r="H17" s="75">
        <f>IF(D17&lt;&gt;0,E17/D17,"")</f>
        <v/>
      </c>
      <c r="I17" s="76">
        <f>IF(D17=0,"—",IF(H17&gt;=1.1,"🔴 Dépassé",IF(H17&gt;=0.9,"🟠 Attention",IF(H17&gt;=0.5,"🟢 OK","🔵 En cours"))))</f>
        <v/>
      </c>
      <c r="J17" s="77">
        <f>BUDGET!D17</f>
        <v/>
      </c>
      <c r="K17" s="77">
        <f>RÉALISÉ!D17</f>
        <v/>
      </c>
      <c r="L17" s="77">
        <f>K17-J17</f>
        <v/>
      </c>
      <c r="M17" s="77">
        <f>BUDGET!E17</f>
        <v/>
      </c>
      <c r="N17" s="77">
        <f>RÉALISÉ!E17</f>
        <v/>
      </c>
      <c r="O17" s="77">
        <f>N17-M17</f>
        <v/>
      </c>
      <c r="P17" s="77">
        <f>BUDGET!F17</f>
        <v/>
      </c>
      <c r="Q17" s="77">
        <f>RÉALISÉ!F17</f>
        <v/>
      </c>
      <c r="R17" s="77">
        <f>Q17-P17</f>
        <v/>
      </c>
      <c r="S17" s="78">
        <f>BUDGET!G17</f>
        <v/>
      </c>
      <c r="T17" s="78">
        <f>RÉALISÉ!G17</f>
        <v/>
      </c>
      <c r="U17" s="78">
        <f>T17-S17</f>
        <v/>
      </c>
      <c r="V17" s="78">
        <f>BUDGET!H17</f>
        <v/>
      </c>
      <c r="W17" s="78">
        <f>RÉALISÉ!H17</f>
        <v/>
      </c>
      <c r="X17" s="78">
        <f>W17-V17</f>
        <v/>
      </c>
      <c r="Y17" s="78">
        <f>BUDGET!I17</f>
        <v/>
      </c>
      <c r="Z17" s="78">
        <f>RÉALISÉ!I17</f>
        <v/>
      </c>
      <c r="AA17" s="78">
        <f>Z17-Y17</f>
        <v/>
      </c>
      <c r="AB17" s="78">
        <f>BUDGET!J17</f>
        <v/>
      </c>
      <c r="AC17" s="78">
        <f>RÉALISÉ!J17</f>
        <v/>
      </c>
      <c r="AD17" s="78">
        <f>AC17-AB17</f>
        <v/>
      </c>
      <c r="AE17" s="78">
        <f>BUDGET!K17</f>
        <v/>
      </c>
      <c r="AF17" s="78">
        <f>RÉALISÉ!K17</f>
        <v/>
      </c>
      <c r="AG17" s="78">
        <f>AF17-AE17</f>
        <v/>
      </c>
      <c r="AH17" s="78">
        <f>BUDGET!L17</f>
        <v/>
      </c>
      <c r="AI17" s="78">
        <f>RÉALISÉ!L17</f>
        <v/>
      </c>
      <c r="AJ17" s="78">
        <f>AI17-AH17</f>
        <v/>
      </c>
      <c r="AK17" s="78">
        <f>BUDGET!M17</f>
        <v/>
      </c>
      <c r="AL17" s="78">
        <f>RÉALISÉ!M17</f>
        <v/>
      </c>
      <c r="AM17" s="78">
        <f>AL17-AK17</f>
        <v/>
      </c>
      <c r="AN17" s="78">
        <f>BUDGET!N17</f>
        <v/>
      </c>
      <c r="AO17" s="78">
        <f>RÉALISÉ!N17</f>
        <v/>
      </c>
      <c r="AP17" s="78">
        <f>AO17-AN17</f>
        <v/>
      </c>
      <c r="AQ17" s="78">
        <f>BUDGET!O17</f>
        <v/>
      </c>
      <c r="AR17" s="78">
        <f>RÉALISÉ!O17</f>
        <v/>
      </c>
      <c r="AS17" s="78">
        <f>AR17-AQ17</f>
        <v/>
      </c>
    </row>
    <row r="18" ht="18" customHeight="1">
      <c r="C18" s="81" t="inlineStr">
        <is>
          <t xml:space="preserve">        Parc le petit prince</t>
        </is>
      </c>
      <c r="D18" s="82">
        <f>BUDGET!D18+BUDGET!E18+BUDGET!F18+BUDGET!G18+BUDGET!H18+BUDGET!I18+BUDGET!J18+BUDGET!K18+BUDGET!L18+BUDGET!M18+BUDGET!N18+BUDGET!O18</f>
        <v/>
      </c>
      <c r="E18" s="82">
        <f>RÉALISÉ!D18+RÉALISÉ!E18+RÉALISÉ!F18+RÉALISÉ!G18+RÉALISÉ!H18+RÉALISÉ!I18+RÉALISÉ!J18+RÉALISÉ!K18+RÉALISÉ!L18+RÉALISÉ!M18+RÉALISÉ!N18+RÉALISÉ!O18</f>
        <v/>
      </c>
      <c r="F18" s="82" t="inlineStr"/>
      <c r="G18" s="74">
        <f>D18-E18</f>
        <v/>
      </c>
      <c r="H18" s="75">
        <f>IF(D18&lt;&gt;0,E18/D18,"")</f>
        <v/>
      </c>
      <c r="I18" s="76">
        <f>IF(D18=0,"—",IF(H18&gt;=1.1,"🔴 Dépassé",IF(H18&gt;=0.9,"🟠 Attention",IF(H18&gt;=0.5,"🟢 OK","🔵 En cours"))))</f>
        <v/>
      </c>
      <c r="J18" s="77">
        <f>BUDGET!D18</f>
        <v/>
      </c>
      <c r="K18" s="77">
        <f>RÉALISÉ!D18</f>
        <v/>
      </c>
      <c r="L18" s="77">
        <f>K18-J18</f>
        <v/>
      </c>
      <c r="M18" s="77">
        <f>BUDGET!E18</f>
        <v/>
      </c>
      <c r="N18" s="77">
        <f>RÉALISÉ!E18</f>
        <v/>
      </c>
      <c r="O18" s="77">
        <f>N18-M18</f>
        <v/>
      </c>
      <c r="P18" s="77">
        <f>BUDGET!F18</f>
        <v/>
      </c>
      <c r="Q18" s="77">
        <f>RÉALISÉ!F18</f>
        <v/>
      </c>
      <c r="R18" s="77">
        <f>Q18-P18</f>
        <v/>
      </c>
      <c r="S18" s="78">
        <f>BUDGET!G18</f>
        <v/>
      </c>
      <c r="T18" s="78">
        <f>RÉALISÉ!G18</f>
        <v/>
      </c>
      <c r="U18" s="78">
        <f>T18-S18</f>
        <v/>
      </c>
      <c r="V18" s="78">
        <f>BUDGET!H18</f>
        <v/>
      </c>
      <c r="W18" s="78">
        <f>RÉALISÉ!H18</f>
        <v/>
      </c>
      <c r="X18" s="78">
        <f>W18-V18</f>
        <v/>
      </c>
      <c r="Y18" s="78">
        <f>BUDGET!I18</f>
        <v/>
      </c>
      <c r="Z18" s="78">
        <f>RÉALISÉ!I18</f>
        <v/>
      </c>
      <c r="AA18" s="78">
        <f>Z18-Y18</f>
        <v/>
      </c>
      <c r="AB18" s="78">
        <f>BUDGET!J18</f>
        <v/>
      </c>
      <c r="AC18" s="78">
        <f>RÉALISÉ!J18</f>
        <v/>
      </c>
      <c r="AD18" s="78">
        <f>AC18-AB18</f>
        <v/>
      </c>
      <c r="AE18" s="78">
        <f>BUDGET!K18</f>
        <v/>
      </c>
      <c r="AF18" s="78">
        <f>RÉALISÉ!K18</f>
        <v/>
      </c>
      <c r="AG18" s="78">
        <f>AF18-AE18</f>
        <v/>
      </c>
      <c r="AH18" s="78">
        <f>BUDGET!L18</f>
        <v/>
      </c>
      <c r="AI18" s="78">
        <f>RÉALISÉ!L18</f>
        <v/>
      </c>
      <c r="AJ18" s="78">
        <f>AI18-AH18</f>
        <v/>
      </c>
      <c r="AK18" s="78">
        <f>BUDGET!M18</f>
        <v/>
      </c>
      <c r="AL18" s="78">
        <f>RÉALISÉ!M18</f>
        <v/>
      </c>
      <c r="AM18" s="78">
        <f>AL18-AK18</f>
        <v/>
      </c>
      <c r="AN18" s="78">
        <f>BUDGET!N18</f>
        <v/>
      </c>
      <c r="AO18" s="78">
        <f>RÉALISÉ!N18</f>
        <v/>
      </c>
      <c r="AP18" s="78">
        <f>AO18-AN18</f>
        <v/>
      </c>
      <c r="AQ18" s="78">
        <f>BUDGET!O18</f>
        <v/>
      </c>
      <c r="AR18" s="78">
        <f>RÉALISÉ!O18</f>
        <v/>
      </c>
      <c r="AS18" s="78">
        <f>AR18-AQ18</f>
        <v/>
      </c>
    </row>
    <row r="19" ht="18" customHeight="1">
      <c r="C19" s="79" t="inlineStr">
        <is>
          <t xml:space="preserve">        Didiland</t>
        </is>
      </c>
      <c r="D19" s="80">
        <f>BUDGET!D19+BUDGET!E19+BUDGET!F19+BUDGET!G19+BUDGET!H19+BUDGET!I19+BUDGET!J19+BUDGET!K19+BUDGET!L19+BUDGET!M19+BUDGET!N19+BUDGET!O19</f>
        <v/>
      </c>
      <c r="E19" s="80">
        <f>RÉALISÉ!D19+RÉALISÉ!E19+RÉALISÉ!F19+RÉALISÉ!G19+RÉALISÉ!H19+RÉALISÉ!I19+RÉALISÉ!J19+RÉALISÉ!K19+RÉALISÉ!L19+RÉALISÉ!M19+RÉALISÉ!N19+RÉALISÉ!O19</f>
        <v/>
      </c>
      <c r="F19" s="80" t="inlineStr"/>
      <c r="G19" s="74">
        <f>D19-E19</f>
        <v/>
      </c>
      <c r="H19" s="75">
        <f>IF(D19&lt;&gt;0,E19/D19,"")</f>
        <v/>
      </c>
      <c r="I19" s="76">
        <f>IF(D19=0,"—",IF(H19&gt;=1.1,"🔴 Dépassé",IF(H19&gt;=0.9,"🟠 Attention",IF(H19&gt;=0.5,"🟢 OK","🔵 En cours"))))</f>
        <v/>
      </c>
      <c r="J19" s="77">
        <f>BUDGET!D19</f>
        <v/>
      </c>
      <c r="K19" s="77">
        <f>RÉALISÉ!D19</f>
        <v/>
      </c>
      <c r="L19" s="77">
        <f>K19-J19</f>
        <v/>
      </c>
      <c r="M19" s="77">
        <f>BUDGET!E19</f>
        <v/>
      </c>
      <c r="N19" s="77">
        <f>RÉALISÉ!E19</f>
        <v/>
      </c>
      <c r="O19" s="77">
        <f>N19-M19</f>
        <v/>
      </c>
      <c r="P19" s="77">
        <f>BUDGET!F19</f>
        <v/>
      </c>
      <c r="Q19" s="77">
        <f>RÉALISÉ!F19</f>
        <v/>
      </c>
      <c r="R19" s="77">
        <f>Q19-P19</f>
        <v/>
      </c>
      <c r="S19" s="78">
        <f>BUDGET!G19</f>
        <v/>
      </c>
      <c r="T19" s="78">
        <f>RÉALISÉ!G19</f>
        <v/>
      </c>
      <c r="U19" s="78">
        <f>T19-S19</f>
        <v/>
      </c>
      <c r="V19" s="78">
        <f>BUDGET!H19</f>
        <v/>
      </c>
      <c r="W19" s="78">
        <f>RÉALISÉ!H19</f>
        <v/>
      </c>
      <c r="X19" s="78">
        <f>W19-V19</f>
        <v/>
      </c>
      <c r="Y19" s="78">
        <f>BUDGET!I19</f>
        <v/>
      </c>
      <c r="Z19" s="78">
        <f>RÉALISÉ!I19</f>
        <v/>
      </c>
      <c r="AA19" s="78">
        <f>Z19-Y19</f>
        <v/>
      </c>
      <c r="AB19" s="78">
        <f>BUDGET!J19</f>
        <v/>
      </c>
      <c r="AC19" s="78">
        <f>RÉALISÉ!J19</f>
        <v/>
      </c>
      <c r="AD19" s="78">
        <f>AC19-AB19</f>
        <v/>
      </c>
      <c r="AE19" s="78">
        <f>BUDGET!K19</f>
        <v/>
      </c>
      <c r="AF19" s="78">
        <f>RÉALISÉ!K19</f>
        <v/>
      </c>
      <c r="AG19" s="78">
        <f>AF19-AE19</f>
        <v/>
      </c>
      <c r="AH19" s="78">
        <f>BUDGET!L19</f>
        <v/>
      </c>
      <c r="AI19" s="78">
        <f>RÉALISÉ!L19</f>
        <v/>
      </c>
      <c r="AJ19" s="78">
        <f>AI19-AH19</f>
        <v/>
      </c>
      <c r="AK19" s="78">
        <f>BUDGET!M19</f>
        <v/>
      </c>
      <c r="AL19" s="78">
        <f>RÉALISÉ!M19</f>
        <v/>
      </c>
      <c r="AM19" s="78">
        <f>AL19-AK19</f>
        <v/>
      </c>
      <c r="AN19" s="78">
        <f>BUDGET!N19</f>
        <v/>
      </c>
      <c r="AO19" s="78">
        <f>RÉALISÉ!N19</f>
        <v/>
      </c>
      <c r="AP19" s="78">
        <f>AO19-AN19</f>
        <v/>
      </c>
      <c r="AQ19" s="78">
        <f>BUDGET!O19</f>
        <v/>
      </c>
      <c r="AR19" s="78">
        <f>RÉALISÉ!O19</f>
        <v/>
      </c>
      <c r="AS19" s="78">
        <f>AR19-AQ19</f>
        <v/>
      </c>
    </row>
    <row r="20" ht="18" customHeight="1">
      <c r="C20" s="81" t="inlineStr">
        <is>
          <t xml:space="preserve">        Parc Asterix</t>
        </is>
      </c>
      <c r="D20" s="82">
        <f>BUDGET!D20+BUDGET!E20+BUDGET!F20+BUDGET!G20+BUDGET!H20+BUDGET!I20+BUDGET!J20+BUDGET!K20+BUDGET!L20+BUDGET!M20+BUDGET!N20+BUDGET!O20</f>
        <v/>
      </c>
      <c r="E20" s="82">
        <f>RÉALISÉ!D20+RÉALISÉ!E20+RÉALISÉ!F20+RÉALISÉ!G20+RÉALISÉ!H20+RÉALISÉ!I20+RÉALISÉ!J20+RÉALISÉ!K20+RÉALISÉ!L20+RÉALISÉ!M20+RÉALISÉ!N20+RÉALISÉ!O20</f>
        <v/>
      </c>
      <c r="F20" s="82" t="inlineStr"/>
      <c r="G20" s="74">
        <f>D20-E20</f>
        <v/>
      </c>
      <c r="H20" s="75">
        <f>IF(D20&lt;&gt;0,E20/D20,"")</f>
        <v/>
      </c>
      <c r="I20" s="76">
        <f>IF(D20=0,"—",IF(H20&gt;=1.1,"🔴 Dépassé",IF(H20&gt;=0.9,"🟠 Attention",IF(H20&gt;=0.5,"🟢 OK","🔵 En cours"))))</f>
        <v/>
      </c>
      <c r="J20" s="77">
        <f>BUDGET!D20</f>
        <v/>
      </c>
      <c r="K20" s="77">
        <f>RÉALISÉ!D20</f>
        <v/>
      </c>
      <c r="L20" s="77">
        <f>K20-J20</f>
        <v/>
      </c>
      <c r="M20" s="77">
        <f>BUDGET!E20</f>
        <v/>
      </c>
      <c r="N20" s="77">
        <f>RÉALISÉ!E20</f>
        <v/>
      </c>
      <c r="O20" s="77">
        <f>N20-M20</f>
        <v/>
      </c>
      <c r="P20" s="77">
        <f>BUDGET!F20</f>
        <v/>
      </c>
      <c r="Q20" s="77">
        <f>RÉALISÉ!F20</f>
        <v/>
      </c>
      <c r="R20" s="77">
        <f>Q20-P20</f>
        <v/>
      </c>
      <c r="S20" s="78">
        <f>BUDGET!G20</f>
        <v/>
      </c>
      <c r="T20" s="78">
        <f>RÉALISÉ!G20</f>
        <v/>
      </c>
      <c r="U20" s="78">
        <f>T20-S20</f>
        <v/>
      </c>
      <c r="V20" s="78">
        <f>BUDGET!H20</f>
        <v/>
      </c>
      <c r="W20" s="78">
        <f>RÉALISÉ!H20</f>
        <v/>
      </c>
      <c r="X20" s="78">
        <f>W20-V20</f>
        <v/>
      </c>
      <c r="Y20" s="78">
        <f>BUDGET!I20</f>
        <v/>
      </c>
      <c r="Z20" s="78">
        <f>RÉALISÉ!I20</f>
        <v/>
      </c>
      <c r="AA20" s="78">
        <f>Z20-Y20</f>
        <v/>
      </c>
      <c r="AB20" s="78">
        <f>BUDGET!J20</f>
        <v/>
      </c>
      <c r="AC20" s="78">
        <f>RÉALISÉ!J20</f>
        <v/>
      </c>
      <c r="AD20" s="78">
        <f>AC20-AB20</f>
        <v/>
      </c>
      <c r="AE20" s="78">
        <f>BUDGET!K20</f>
        <v/>
      </c>
      <c r="AF20" s="78">
        <f>RÉALISÉ!K20</f>
        <v/>
      </c>
      <c r="AG20" s="78">
        <f>AF20-AE20</f>
        <v/>
      </c>
      <c r="AH20" s="78">
        <f>BUDGET!L20</f>
        <v/>
      </c>
      <c r="AI20" s="78">
        <f>RÉALISÉ!L20</f>
        <v/>
      </c>
      <c r="AJ20" s="78">
        <f>AI20-AH20</f>
        <v/>
      </c>
      <c r="AK20" s="78">
        <f>BUDGET!M20</f>
        <v/>
      </c>
      <c r="AL20" s="78">
        <f>RÉALISÉ!M20</f>
        <v/>
      </c>
      <c r="AM20" s="78">
        <f>AL20-AK20</f>
        <v/>
      </c>
      <c r="AN20" s="78">
        <f>BUDGET!N20</f>
        <v/>
      </c>
      <c r="AO20" s="78">
        <f>RÉALISÉ!N20</f>
        <v/>
      </c>
      <c r="AP20" s="78">
        <f>AO20-AN20</f>
        <v/>
      </c>
      <c r="AQ20" s="78">
        <f>BUDGET!O20</f>
        <v/>
      </c>
      <c r="AR20" s="78">
        <f>RÉALISÉ!O20</f>
        <v/>
      </c>
      <c r="AS20" s="78">
        <f>AR20-AQ20</f>
        <v/>
      </c>
    </row>
    <row r="21" ht="18" customHeight="1">
      <c r="C21" s="79" t="inlineStr">
        <is>
          <t xml:space="preserve">        Cinémas</t>
        </is>
      </c>
      <c r="D21" s="80">
        <f>BUDGET!D21+BUDGET!E21+BUDGET!F21+BUDGET!G21+BUDGET!H21+BUDGET!I21+BUDGET!J21+BUDGET!K21+BUDGET!L21+BUDGET!M21+BUDGET!N21+BUDGET!O21</f>
        <v/>
      </c>
      <c r="E21" s="80">
        <f>RÉALISÉ!D21+RÉALISÉ!E21+RÉALISÉ!F21+RÉALISÉ!G21+RÉALISÉ!H21+RÉALISÉ!I21+RÉALISÉ!J21+RÉALISÉ!K21+RÉALISÉ!L21+RÉALISÉ!M21+RÉALISÉ!N21+RÉALISÉ!O21</f>
        <v/>
      </c>
      <c r="F21" s="80" t="inlineStr"/>
      <c r="G21" s="74">
        <f>D21-E21</f>
        <v/>
      </c>
      <c r="H21" s="75">
        <f>IF(D21&lt;&gt;0,E21/D21,"")</f>
        <v/>
      </c>
      <c r="I21" s="76">
        <f>IF(D21=0,"—",IF(H21&gt;=1.1,"🔴 Dépassé",IF(H21&gt;=0.9,"🟠 Attention",IF(H21&gt;=0.5,"🟢 OK","🔵 En cours"))))</f>
        <v/>
      </c>
      <c r="J21" s="77">
        <f>BUDGET!D21</f>
        <v/>
      </c>
      <c r="K21" s="77">
        <f>RÉALISÉ!D21</f>
        <v/>
      </c>
      <c r="L21" s="77">
        <f>K21-J21</f>
        <v/>
      </c>
      <c r="M21" s="77">
        <f>BUDGET!E21</f>
        <v/>
      </c>
      <c r="N21" s="77">
        <f>RÉALISÉ!E21</f>
        <v/>
      </c>
      <c r="O21" s="77">
        <f>N21-M21</f>
        <v/>
      </c>
      <c r="P21" s="77">
        <f>BUDGET!F21</f>
        <v/>
      </c>
      <c r="Q21" s="77">
        <f>RÉALISÉ!F21</f>
        <v/>
      </c>
      <c r="R21" s="77">
        <f>Q21-P21</f>
        <v/>
      </c>
      <c r="S21" s="78">
        <f>BUDGET!G21</f>
        <v/>
      </c>
      <c r="T21" s="78">
        <f>RÉALISÉ!G21</f>
        <v/>
      </c>
      <c r="U21" s="78">
        <f>T21-S21</f>
        <v/>
      </c>
      <c r="V21" s="78">
        <f>BUDGET!H21</f>
        <v/>
      </c>
      <c r="W21" s="78">
        <f>RÉALISÉ!H21</f>
        <v/>
      </c>
      <c r="X21" s="78">
        <f>W21-V21</f>
        <v/>
      </c>
      <c r="Y21" s="78">
        <f>BUDGET!I21</f>
        <v/>
      </c>
      <c r="Z21" s="78">
        <f>RÉALISÉ!I21</f>
        <v/>
      </c>
      <c r="AA21" s="78">
        <f>Z21-Y21</f>
        <v/>
      </c>
      <c r="AB21" s="78">
        <f>BUDGET!J21</f>
        <v/>
      </c>
      <c r="AC21" s="78">
        <f>RÉALISÉ!J21</f>
        <v/>
      </c>
      <c r="AD21" s="78">
        <f>AC21-AB21</f>
        <v/>
      </c>
      <c r="AE21" s="78">
        <f>BUDGET!K21</f>
        <v/>
      </c>
      <c r="AF21" s="78">
        <f>RÉALISÉ!K21</f>
        <v/>
      </c>
      <c r="AG21" s="78">
        <f>AF21-AE21</f>
        <v/>
      </c>
      <c r="AH21" s="78">
        <f>BUDGET!L21</f>
        <v/>
      </c>
      <c r="AI21" s="78">
        <f>RÉALISÉ!L21</f>
        <v/>
      </c>
      <c r="AJ21" s="78">
        <f>AI21-AH21</f>
        <v/>
      </c>
      <c r="AK21" s="78">
        <f>BUDGET!M21</f>
        <v/>
      </c>
      <c r="AL21" s="78">
        <f>RÉALISÉ!M21</f>
        <v/>
      </c>
      <c r="AM21" s="78">
        <f>AL21-AK21</f>
        <v/>
      </c>
      <c r="AN21" s="78">
        <f>BUDGET!N21</f>
        <v/>
      </c>
      <c r="AO21" s="78">
        <f>RÉALISÉ!N21</f>
        <v/>
      </c>
      <c r="AP21" s="78">
        <f>AO21-AN21</f>
        <v/>
      </c>
      <c r="AQ21" s="78">
        <f>BUDGET!O21</f>
        <v/>
      </c>
      <c r="AR21" s="78">
        <f>RÉALISÉ!O21</f>
        <v/>
      </c>
      <c r="AS21" s="78">
        <f>AR21-AQ21</f>
        <v/>
      </c>
    </row>
    <row r="22" ht="18" customHeight="1">
      <c r="C22" s="81" t="inlineStr">
        <is>
          <t xml:space="preserve">        Wonderbox</t>
        </is>
      </c>
      <c r="D22" s="82">
        <f>BUDGET!D22+BUDGET!E22+BUDGET!F22+BUDGET!G22+BUDGET!H22+BUDGET!I22+BUDGET!J22+BUDGET!K22+BUDGET!L22+BUDGET!M22+BUDGET!N22+BUDGET!O22</f>
        <v/>
      </c>
      <c r="E22" s="82">
        <f>RÉALISÉ!D22+RÉALISÉ!E22+RÉALISÉ!F22+RÉALISÉ!G22+RÉALISÉ!H22+RÉALISÉ!I22+RÉALISÉ!J22+RÉALISÉ!K22+RÉALISÉ!L22+RÉALISÉ!M22+RÉALISÉ!N22+RÉALISÉ!O22</f>
        <v/>
      </c>
      <c r="F22" s="82" t="inlineStr"/>
      <c r="G22" s="74">
        <f>D22-E22</f>
        <v/>
      </c>
      <c r="H22" s="75">
        <f>IF(D22&lt;&gt;0,E22/D22,"")</f>
        <v/>
      </c>
      <c r="I22" s="76">
        <f>IF(D22=0,"—",IF(H22&gt;=1.1,"🔴 Dépassé",IF(H22&gt;=0.9,"🟠 Attention",IF(H22&gt;=0.5,"🟢 OK","🔵 En cours"))))</f>
        <v/>
      </c>
      <c r="J22" s="77">
        <f>BUDGET!D22</f>
        <v/>
      </c>
      <c r="K22" s="77">
        <f>RÉALISÉ!D22</f>
        <v/>
      </c>
      <c r="L22" s="77">
        <f>K22-J22</f>
        <v/>
      </c>
      <c r="M22" s="77">
        <f>BUDGET!E22</f>
        <v/>
      </c>
      <c r="N22" s="77">
        <f>RÉALISÉ!E22</f>
        <v/>
      </c>
      <c r="O22" s="77">
        <f>N22-M22</f>
        <v/>
      </c>
      <c r="P22" s="77">
        <f>BUDGET!F22</f>
        <v/>
      </c>
      <c r="Q22" s="77">
        <f>RÉALISÉ!F22</f>
        <v/>
      </c>
      <c r="R22" s="77">
        <f>Q22-P22</f>
        <v/>
      </c>
      <c r="S22" s="78">
        <f>BUDGET!G22</f>
        <v/>
      </c>
      <c r="T22" s="78">
        <f>RÉALISÉ!G22</f>
        <v/>
      </c>
      <c r="U22" s="78">
        <f>T22-S22</f>
        <v/>
      </c>
      <c r="V22" s="78">
        <f>BUDGET!H22</f>
        <v/>
      </c>
      <c r="W22" s="78">
        <f>RÉALISÉ!H22</f>
        <v/>
      </c>
      <c r="X22" s="78">
        <f>W22-V22</f>
        <v/>
      </c>
      <c r="Y22" s="78">
        <f>BUDGET!I22</f>
        <v/>
      </c>
      <c r="Z22" s="78">
        <f>RÉALISÉ!I22</f>
        <v/>
      </c>
      <c r="AA22" s="78">
        <f>Z22-Y22</f>
        <v/>
      </c>
      <c r="AB22" s="78">
        <f>BUDGET!J22</f>
        <v/>
      </c>
      <c r="AC22" s="78">
        <f>RÉALISÉ!J22</f>
        <v/>
      </c>
      <c r="AD22" s="78">
        <f>AC22-AB22</f>
        <v/>
      </c>
      <c r="AE22" s="78">
        <f>BUDGET!K22</f>
        <v/>
      </c>
      <c r="AF22" s="78">
        <f>RÉALISÉ!K22</f>
        <v/>
      </c>
      <c r="AG22" s="78">
        <f>AF22-AE22</f>
        <v/>
      </c>
      <c r="AH22" s="78">
        <f>BUDGET!L22</f>
        <v/>
      </c>
      <c r="AI22" s="78">
        <f>RÉALISÉ!L22</f>
        <v/>
      </c>
      <c r="AJ22" s="78">
        <f>AI22-AH22</f>
        <v/>
      </c>
      <c r="AK22" s="78">
        <f>BUDGET!M22</f>
        <v/>
      </c>
      <c r="AL22" s="78">
        <f>RÉALISÉ!M22</f>
        <v/>
      </c>
      <c r="AM22" s="78">
        <f>AL22-AK22</f>
        <v/>
      </c>
      <c r="AN22" s="78">
        <f>BUDGET!N22</f>
        <v/>
      </c>
      <c r="AO22" s="78">
        <f>RÉALISÉ!N22</f>
        <v/>
      </c>
      <c r="AP22" s="78">
        <f>AO22-AN22</f>
        <v/>
      </c>
      <c r="AQ22" s="78">
        <f>BUDGET!O22</f>
        <v/>
      </c>
      <c r="AR22" s="78">
        <f>RÉALISÉ!O22</f>
        <v/>
      </c>
      <c r="AS22" s="78">
        <f>AR22-AQ22</f>
        <v/>
      </c>
    </row>
    <row r="23" ht="18" customHeight="1">
      <c r="C23" s="79" t="inlineStr">
        <is>
          <t xml:space="preserve">        Parc Fraispertuis</t>
        </is>
      </c>
      <c r="D23" s="80">
        <f>BUDGET!D23+BUDGET!E23+BUDGET!F23+BUDGET!G23+BUDGET!H23+BUDGET!I23+BUDGET!J23+BUDGET!K23+BUDGET!L23+BUDGET!M23+BUDGET!N23+BUDGET!O23</f>
        <v/>
      </c>
      <c r="E23" s="80">
        <f>RÉALISÉ!D23+RÉALISÉ!E23+RÉALISÉ!F23+RÉALISÉ!G23+RÉALISÉ!H23+RÉALISÉ!I23+RÉALISÉ!J23+RÉALISÉ!K23+RÉALISÉ!L23+RÉALISÉ!M23+RÉALISÉ!N23+RÉALISÉ!O23</f>
        <v/>
      </c>
      <c r="F23" s="80" t="inlineStr"/>
      <c r="G23" s="74">
        <f>D23-E23</f>
        <v/>
      </c>
      <c r="H23" s="75">
        <f>IF(D23&lt;&gt;0,E23/D23,"")</f>
        <v/>
      </c>
      <c r="I23" s="76">
        <f>IF(D23=0,"—",IF(H23&gt;=1.1,"🔴 Dépassé",IF(H23&gt;=0.9,"🟠 Attention",IF(H23&gt;=0.5,"🟢 OK","🔵 En cours"))))</f>
        <v/>
      </c>
      <c r="J23" s="77">
        <f>BUDGET!D23</f>
        <v/>
      </c>
      <c r="K23" s="77">
        <f>RÉALISÉ!D23</f>
        <v/>
      </c>
      <c r="L23" s="77">
        <f>K23-J23</f>
        <v/>
      </c>
      <c r="M23" s="77">
        <f>BUDGET!E23</f>
        <v/>
      </c>
      <c r="N23" s="77">
        <f>RÉALISÉ!E23</f>
        <v/>
      </c>
      <c r="O23" s="77">
        <f>N23-M23</f>
        <v/>
      </c>
      <c r="P23" s="77">
        <f>BUDGET!F23</f>
        <v/>
      </c>
      <c r="Q23" s="77">
        <f>RÉALISÉ!F23</f>
        <v/>
      </c>
      <c r="R23" s="77">
        <f>Q23-P23</f>
        <v/>
      </c>
      <c r="S23" s="78">
        <f>BUDGET!G23</f>
        <v/>
      </c>
      <c r="T23" s="78">
        <f>RÉALISÉ!G23</f>
        <v/>
      </c>
      <c r="U23" s="78">
        <f>T23-S23</f>
        <v/>
      </c>
      <c r="V23" s="78">
        <f>BUDGET!H23</f>
        <v/>
      </c>
      <c r="W23" s="78">
        <f>RÉALISÉ!H23</f>
        <v/>
      </c>
      <c r="X23" s="78">
        <f>W23-V23</f>
        <v/>
      </c>
      <c r="Y23" s="78">
        <f>BUDGET!I23</f>
        <v/>
      </c>
      <c r="Z23" s="78">
        <f>RÉALISÉ!I23</f>
        <v/>
      </c>
      <c r="AA23" s="78">
        <f>Z23-Y23</f>
        <v/>
      </c>
      <c r="AB23" s="78">
        <f>BUDGET!J23</f>
        <v/>
      </c>
      <c r="AC23" s="78">
        <f>RÉALISÉ!J23</f>
        <v/>
      </c>
      <c r="AD23" s="78">
        <f>AC23-AB23</f>
        <v/>
      </c>
      <c r="AE23" s="78">
        <f>BUDGET!K23</f>
        <v/>
      </c>
      <c r="AF23" s="78">
        <f>RÉALISÉ!K23</f>
        <v/>
      </c>
      <c r="AG23" s="78">
        <f>AF23-AE23</f>
        <v/>
      </c>
      <c r="AH23" s="78">
        <f>BUDGET!L23</f>
        <v/>
      </c>
      <c r="AI23" s="78">
        <f>RÉALISÉ!L23</f>
        <v/>
      </c>
      <c r="AJ23" s="78">
        <f>AI23-AH23</f>
        <v/>
      </c>
      <c r="AK23" s="78">
        <f>BUDGET!M23</f>
        <v/>
      </c>
      <c r="AL23" s="78">
        <f>RÉALISÉ!M23</f>
        <v/>
      </c>
      <c r="AM23" s="78">
        <f>AL23-AK23</f>
        <v/>
      </c>
      <c r="AN23" s="78">
        <f>BUDGET!N23</f>
        <v/>
      </c>
      <c r="AO23" s="78">
        <f>RÉALISÉ!N23</f>
        <v/>
      </c>
      <c r="AP23" s="78">
        <f>AO23-AN23</f>
        <v/>
      </c>
      <c r="AQ23" s="78">
        <f>BUDGET!O23</f>
        <v/>
      </c>
      <c r="AR23" s="78">
        <f>RÉALISÉ!O23</f>
        <v/>
      </c>
      <c r="AS23" s="78">
        <f>AR23-AQ23</f>
        <v/>
      </c>
    </row>
    <row r="24" ht="18" customHeight="1">
      <c r="C24" s="81" t="inlineStr">
        <is>
          <t xml:space="preserve">        Parc Cigoland</t>
        </is>
      </c>
      <c r="D24" s="82">
        <f>BUDGET!D24+BUDGET!E24+BUDGET!F24+BUDGET!G24+BUDGET!H24+BUDGET!I24+BUDGET!J24+BUDGET!K24+BUDGET!L24+BUDGET!M24+BUDGET!N24+BUDGET!O24</f>
        <v/>
      </c>
      <c r="E24" s="82">
        <f>RÉALISÉ!D24+RÉALISÉ!E24+RÉALISÉ!F24+RÉALISÉ!G24+RÉALISÉ!H24+RÉALISÉ!I24+RÉALISÉ!J24+RÉALISÉ!K24+RÉALISÉ!L24+RÉALISÉ!M24+RÉALISÉ!N24+RÉALISÉ!O24</f>
        <v/>
      </c>
      <c r="F24" s="82" t="inlineStr"/>
      <c r="G24" s="74">
        <f>D24-E24</f>
        <v/>
      </c>
      <c r="H24" s="75">
        <f>IF(D24&lt;&gt;0,E24/D24,"")</f>
        <v/>
      </c>
      <c r="I24" s="76">
        <f>IF(D24=0,"—",IF(H24&gt;=1.1,"🔴 Dépassé",IF(H24&gt;=0.9,"🟠 Attention",IF(H24&gt;=0.5,"🟢 OK","🔵 En cours"))))</f>
        <v/>
      </c>
      <c r="J24" s="77">
        <f>BUDGET!D24</f>
        <v/>
      </c>
      <c r="K24" s="77">
        <f>RÉALISÉ!D24</f>
        <v/>
      </c>
      <c r="L24" s="77">
        <f>K24-J24</f>
        <v/>
      </c>
      <c r="M24" s="77">
        <f>BUDGET!E24</f>
        <v/>
      </c>
      <c r="N24" s="77">
        <f>RÉALISÉ!E24</f>
        <v/>
      </c>
      <c r="O24" s="77">
        <f>N24-M24</f>
        <v/>
      </c>
      <c r="P24" s="77">
        <f>BUDGET!F24</f>
        <v/>
      </c>
      <c r="Q24" s="77">
        <f>RÉALISÉ!F24</f>
        <v/>
      </c>
      <c r="R24" s="77">
        <f>Q24-P24</f>
        <v/>
      </c>
      <c r="S24" s="78">
        <f>BUDGET!G24</f>
        <v/>
      </c>
      <c r="T24" s="78">
        <f>RÉALISÉ!G24</f>
        <v/>
      </c>
      <c r="U24" s="78">
        <f>T24-S24</f>
        <v/>
      </c>
      <c r="V24" s="78">
        <f>BUDGET!H24</f>
        <v/>
      </c>
      <c r="W24" s="78">
        <f>RÉALISÉ!H24</f>
        <v/>
      </c>
      <c r="X24" s="78">
        <f>W24-V24</f>
        <v/>
      </c>
      <c r="Y24" s="78">
        <f>BUDGET!I24</f>
        <v/>
      </c>
      <c r="Z24" s="78">
        <f>RÉALISÉ!I24</f>
        <v/>
      </c>
      <c r="AA24" s="78">
        <f>Z24-Y24</f>
        <v/>
      </c>
      <c r="AB24" s="78">
        <f>BUDGET!J24</f>
        <v/>
      </c>
      <c r="AC24" s="78">
        <f>RÉALISÉ!J24</f>
        <v/>
      </c>
      <c r="AD24" s="78">
        <f>AC24-AB24</f>
        <v/>
      </c>
      <c r="AE24" s="78">
        <f>BUDGET!K24</f>
        <v/>
      </c>
      <c r="AF24" s="78">
        <f>RÉALISÉ!K24</f>
        <v/>
      </c>
      <c r="AG24" s="78">
        <f>AF24-AE24</f>
        <v/>
      </c>
      <c r="AH24" s="78">
        <f>BUDGET!L24</f>
        <v/>
      </c>
      <c r="AI24" s="78">
        <f>RÉALISÉ!L24</f>
        <v/>
      </c>
      <c r="AJ24" s="78">
        <f>AI24-AH24</f>
        <v/>
      </c>
      <c r="AK24" s="78">
        <f>BUDGET!M24</f>
        <v/>
      </c>
      <c r="AL24" s="78">
        <f>RÉALISÉ!M24</f>
        <v/>
      </c>
      <c r="AM24" s="78">
        <f>AL24-AK24</f>
        <v/>
      </c>
      <c r="AN24" s="78">
        <f>BUDGET!N24</f>
        <v/>
      </c>
      <c r="AO24" s="78">
        <f>RÉALISÉ!N24</f>
        <v/>
      </c>
      <c r="AP24" s="78">
        <f>AO24-AN24</f>
        <v/>
      </c>
      <c r="AQ24" s="78">
        <f>BUDGET!O24</f>
        <v/>
      </c>
      <c r="AR24" s="78">
        <f>RÉALISÉ!O24</f>
        <v/>
      </c>
      <c r="AS24" s="78">
        <f>AR24-AQ24</f>
        <v/>
      </c>
    </row>
    <row r="25" ht="18" customHeight="1">
      <c r="C25" s="83" t="inlineStr">
        <is>
          <t xml:space="preserve">    Activités culturelles</t>
        </is>
      </c>
      <c r="D25" s="84">
        <f>BUDGET!D25+BUDGET!E25+BUDGET!F25+BUDGET!G25+BUDGET!H25+BUDGET!I25+BUDGET!J25+BUDGET!K25+BUDGET!L25+BUDGET!M25+BUDGET!N25+BUDGET!O25</f>
        <v/>
      </c>
      <c r="E25" s="84">
        <f>RÉALISÉ!D25+RÉALISÉ!E25+RÉALISÉ!F25+RÉALISÉ!G25+RÉALISÉ!H25+RÉALISÉ!I25+RÉALISÉ!J25+RÉALISÉ!K25+RÉALISÉ!L25+RÉALISÉ!M25+RÉALISÉ!N25+RÉALISÉ!O25</f>
        <v/>
      </c>
      <c r="F25" s="84" t="inlineStr"/>
      <c r="G25" s="74">
        <f>D25-E25</f>
        <v/>
      </c>
      <c r="H25" s="75">
        <f>IF(D25&lt;&gt;0,E25/D25,"")</f>
        <v/>
      </c>
      <c r="I25" s="76">
        <f>IF(D25=0,"—",IF(H25&gt;=1.1,"🔴 Dépassé",IF(H25&gt;=0.9,"🟠 Attention",IF(H25&gt;=0.5,"🟢 OK","🔵 En cours"))))</f>
        <v/>
      </c>
      <c r="J25" s="77">
        <f>BUDGET!D25</f>
        <v/>
      </c>
      <c r="K25" s="77">
        <f>RÉALISÉ!D25</f>
        <v/>
      </c>
      <c r="L25" s="77">
        <f>K25-J25</f>
        <v/>
      </c>
      <c r="M25" s="77">
        <f>BUDGET!E25</f>
        <v/>
      </c>
      <c r="N25" s="77">
        <f>RÉALISÉ!E25</f>
        <v/>
      </c>
      <c r="O25" s="77">
        <f>N25-M25</f>
        <v/>
      </c>
      <c r="P25" s="77">
        <f>BUDGET!F25</f>
        <v/>
      </c>
      <c r="Q25" s="77">
        <f>RÉALISÉ!F25</f>
        <v/>
      </c>
      <c r="R25" s="77">
        <f>Q25-P25</f>
        <v/>
      </c>
      <c r="S25" s="78">
        <f>BUDGET!G25</f>
        <v/>
      </c>
      <c r="T25" s="78">
        <f>RÉALISÉ!G25</f>
        <v/>
      </c>
      <c r="U25" s="78">
        <f>T25-S25</f>
        <v/>
      </c>
      <c r="V25" s="78">
        <f>BUDGET!H25</f>
        <v/>
      </c>
      <c r="W25" s="78">
        <f>RÉALISÉ!H25</f>
        <v/>
      </c>
      <c r="X25" s="78">
        <f>W25-V25</f>
        <v/>
      </c>
      <c r="Y25" s="78">
        <f>BUDGET!I25</f>
        <v/>
      </c>
      <c r="Z25" s="78">
        <f>RÉALISÉ!I25</f>
        <v/>
      </c>
      <c r="AA25" s="78">
        <f>Z25-Y25</f>
        <v/>
      </c>
      <c r="AB25" s="78">
        <f>BUDGET!J25</f>
        <v/>
      </c>
      <c r="AC25" s="78">
        <f>RÉALISÉ!J25</f>
        <v/>
      </c>
      <c r="AD25" s="78">
        <f>AC25-AB25</f>
        <v/>
      </c>
      <c r="AE25" s="78">
        <f>BUDGET!K25</f>
        <v/>
      </c>
      <c r="AF25" s="78">
        <f>RÉALISÉ!K25</f>
        <v/>
      </c>
      <c r="AG25" s="78">
        <f>AF25-AE25</f>
        <v/>
      </c>
      <c r="AH25" s="78">
        <f>BUDGET!L25</f>
        <v/>
      </c>
      <c r="AI25" s="78">
        <f>RÉALISÉ!L25</f>
        <v/>
      </c>
      <c r="AJ25" s="78">
        <f>AI25-AH25</f>
        <v/>
      </c>
      <c r="AK25" s="78">
        <f>BUDGET!M25</f>
        <v/>
      </c>
      <c r="AL25" s="78">
        <f>RÉALISÉ!M25</f>
        <v/>
      </c>
      <c r="AM25" s="78">
        <f>AL25-AK25</f>
        <v/>
      </c>
      <c r="AN25" s="78">
        <f>BUDGET!N25</f>
        <v/>
      </c>
      <c r="AO25" s="78">
        <f>RÉALISÉ!N25</f>
        <v/>
      </c>
      <c r="AP25" s="78">
        <f>AO25-AN25</f>
        <v/>
      </c>
      <c r="AQ25" s="78">
        <f>BUDGET!O25</f>
        <v/>
      </c>
      <c r="AR25" s="78">
        <f>RÉALISÉ!O25</f>
        <v/>
      </c>
      <c r="AS25" s="78">
        <f>AR25-AQ25</f>
        <v/>
      </c>
    </row>
    <row r="26" ht="18" customHeight="1">
      <c r="C26" s="81" t="inlineStr">
        <is>
          <t xml:space="preserve">        Evénement Noël</t>
        </is>
      </c>
      <c r="D26" s="82">
        <f>BUDGET!D26+BUDGET!E26+BUDGET!F26+BUDGET!G26+BUDGET!H26+BUDGET!I26+BUDGET!J26+BUDGET!K26+BUDGET!L26+BUDGET!M26+BUDGET!N26+BUDGET!O26</f>
        <v/>
      </c>
      <c r="E26" s="82">
        <f>RÉALISÉ!D26+RÉALISÉ!E26+RÉALISÉ!F26+RÉALISÉ!G26+RÉALISÉ!H26+RÉALISÉ!I26+RÉALISÉ!J26+RÉALISÉ!K26+RÉALISÉ!L26+RÉALISÉ!M26+RÉALISÉ!N26+RÉALISÉ!O26</f>
        <v/>
      </c>
      <c r="F26" s="82" t="inlineStr"/>
      <c r="G26" s="74">
        <f>D26-E26</f>
        <v/>
      </c>
      <c r="H26" s="75">
        <f>IF(D26&lt;&gt;0,E26/D26,"")</f>
        <v/>
      </c>
      <c r="I26" s="76">
        <f>IF(D26=0,"—",IF(H26&gt;=1.1,"🔴 Dépassé",IF(H26&gt;=0.9,"🟠 Attention",IF(H26&gt;=0.5,"🟢 OK","🔵 En cours"))))</f>
        <v/>
      </c>
      <c r="J26" s="77">
        <f>BUDGET!D26</f>
        <v/>
      </c>
      <c r="K26" s="77">
        <f>RÉALISÉ!D26</f>
        <v/>
      </c>
      <c r="L26" s="77">
        <f>K26-J26</f>
        <v/>
      </c>
      <c r="M26" s="77">
        <f>BUDGET!E26</f>
        <v/>
      </c>
      <c r="N26" s="77">
        <f>RÉALISÉ!E26</f>
        <v/>
      </c>
      <c r="O26" s="77">
        <f>N26-M26</f>
        <v/>
      </c>
      <c r="P26" s="77">
        <f>BUDGET!F26</f>
        <v/>
      </c>
      <c r="Q26" s="77">
        <f>RÉALISÉ!F26</f>
        <v/>
      </c>
      <c r="R26" s="77">
        <f>Q26-P26</f>
        <v/>
      </c>
      <c r="S26" s="78">
        <f>BUDGET!G26</f>
        <v/>
      </c>
      <c r="T26" s="78">
        <f>RÉALISÉ!G26</f>
        <v/>
      </c>
      <c r="U26" s="78">
        <f>T26-S26</f>
        <v/>
      </c>
      <c r="V26" s="78">
        <f>BUDGET!H26</f>
        <v/>
      </c>
      <c r="W26" s="78">
        <f>RÉALISÉ!H26</f>
        <v/>
      </c>
      <c r="X26" s="78">
        <f>W26-V26</f>
        <v/>
      </c>
      <c r="Y26" s="78">
        <f>BUDGET!I26</f>
        <v/>
      </c>
      <c r="Z26" s="78">
        <f>RÉALISÉ!I26</f>
        <v/>
      </c>
      <c r="AA26" s="78">
        <f>Z26-Y26</f>
        <v/>
      </c>
      <c r="AB26" s="78">
        <f>BUDGET!J26</f>
        <v/>
      </c>
      <c r="AC26" s="78">
        <f>RÉALISÉ!J26</f>
        <v/>
      </c>
      <c r="AD26" s="78">
        <f>AC26-AB26</f>
        <v/>
      </c>
      <c r="AE26" s="78">
        <f>BUDGET!K26</f>
        <v/>
      </c>
      <c r="AF26" s="78">
        <f>RÉALISÉ!K26</f>
        <v/>
      </c>
      <c r="AG26" s="78">
        <f>AF26-AE26</f>
        <v/>
      </c>
      <c r="AH26" s="78">
        <f>BUDGET!L26</f>
        <v/>
      </c>
      <c r="AI26" s="78">
        <f>RÉALISÉ!L26</f>
        <v/>
      </c>
      <c r="AJ26" s="78">
        <f>AI26-AH26</f>
        <v/>
      </c>
      <c r="AK26" s="78">
        <f>BUDGET!M26</f>
        <v/>
      </c>
      <c r="AL26" s="78">
        <f>RÉALISÉ!M26</f>
        <v/>
      </c>
      <c r="AM26" s="78">
        <f>AL26-AK26</f>
        <v/>
      </c>
      <c r="AN26" s="78">
        <f>BUDGET!N26</f>
        <v/>
      </c>
      <c r="AO26" s="78">
        <f>RÉALISÉ!N26</f>
        <v/>
      </c>
      <c r="AP26" s="78">
        <f>AO26-AN26</f>
        <v/>
      </c>
      <c r="AQ26" s="78">
        <f>BUDGET!O26</f>
        <v/>
      </c>
      <c r="AR26" s="78">
        <f>RÉALISÉ!O26</f>
        <v/>
      </c>
      <c r="AS26" s="78">
        <f>AR26-AQ26</f>
        <v/>
      </c>
    </row>
    <row r="27" ht="18" customHeight="1">
      <c r="C27" s="79" t="inlineStr">
        <is>
          <t xml:space="preserve">            Sortie Noël - Royer</t>
        </is>
      </c>
      <c r="D27" s="80">
        <f>BUDGET!D27+BUDGET!E27+BUDGET!F27+BUDGET!G27+BUDGET!H27+BUDGET!I27+BUDGET!J27+BUDGET!K27+BUDGET!L27+BUDGET!M27+BUDGET!N27+BUDGET!O27</f>
        <v/>
      </c>
      <c r="E27" s="80">
        <f>RÉALISÉ!D27+RÉALISÉ!E27+RÉALISÉ!F27+RÉALISÉ!G27+RÉALISÉ!H27+RÉALISÉ!I27+RÉALISÉ!J27+RÉALISÉ!K27+RÉALISÉ!L27+RÉALISÉ!M27+RÉALISÉ!N27+RÉALISÉ!O27</f>
        <v/>
      </c>
      <c r="F27" s="80" t="inlineStr"/>
      <c r="G27" s="74">
        <f>D27-E27</f>
        <v/>
      </c>
      <c r="H27" s="75">
        <f>IF(D27&lt;&gt;0,E27/D27,"")</f>
        <v/>
      </c>
      <c r="I27" s="76">
        <f>IF(D27=0,"—",IF(H27&gt;=1.1,"🔴 Dépassé",IF(H27&gt;=0.9,"🟠 Attention",IF(H27&gt;=0.5,"🟢 OK","🔵 En cours"))))</f>
        <v/>
      </c>
      <c r="J27" s="77">
        <f>BUDGET!D27</f>
        <v/>
      </c>
      <c r="K27" s="77">
        <f>RÉALISÉ!D27</f>
        <v/>
      </c>
      <c r="L27" s="77">
        <f>K27-J27</f>
        <v/>
      </c>
      <c r="M27" s="77">
        <f>BUDGET!E27</f>
        <v/>
      </c>
      <c r="N27" s="77">
        <f>RÉALISÉ!E27</f>
        <v/>
      </c>
      <c r="O27" s="77">
        <f>N27-M27</f>
        <v/>
      </c>
      <c r="P27" s="77">
        <f>BUDGET!F27</f>
        <v/>
      </c>
      <c r="Q27" s="77">
        <f>RÉALISÉ!F27</f>
        <v/>
      </c>
      <c r="R27" s="77">
        <f>Q27-P27</f>
        <v/>
      </c>
      <c r="S27" s="78">
        <f>BUDGET!G27</f>
        <v/>
      </c>
      <c r="T27" s="78">
        <f>RÉALISÉ!G27</f>
        <v/>
      </c>
      <c r="U27" s="78">
        <f>T27-S27</f>
        <v/>
      </c>
      <c r="V27" s="78">
        <f>BUDGET!H27</f>
        <v/>
      </c>
      <c r="W27" s="78">
        <f>RÉALISÉ!H27</f>
        <v/>
      </c>
      <c r="X27" s="78">
        <f>W27-V27</f>
        <v/>
      </c>
      <c r="Y27" s="78">
        <f>BUDGET!I27</f>
        <v/>
      </c>
      <c r="Z27" s="78">
        <f>RÉALISÉ!I27</f>
        <v/>
      </c>
      <c r="AA27" s="78">
        <f>Z27-Y27</f>
        <v/>
      </c>
      <c r="AB27" s="78">
        <f>BUDGET!J27</f>
        <v/>
      </c>
      <c r="AC27" s="78">
        <f>RÉALISÉ!J27</f>
        <v/>
      </c>
      <c r="AD27" s="78">
        <f>AC27-AB27</f>
        <v/>
      </c>
      <c r="AE27" s="78">
        <f>BUDGET!K27</f>
        <v/>
      </c>
      <c r="AF27" s="78">
        <f>RÉALISÉ!K27</f>
        <v/>
      </c>
      <c r="AG27" s="78">
        <f>AF27-AE27</f>
        <v/>
      </c>
      <c r="AH27" s="78">
        <f>BUDGET!L27</f>
        <v/>
      </c>
      <c r="AI27" s="78">
        <f>RÉALISÉ!L27</f>
        <v/>
      </c>
      <c r="AJ27" s="78">
        <f>AI27-AH27</f>
        <v/>
      </c>
      <c r="AK27" s="78">
        <f>BUDGET!M27</f>
        <v/>
      </c>
      <c r="AL27" s="78">
        <f>RÉALISÉ!M27</f>
        <v/>
      </c>
      <c r="AM27" s="78">
        <f>AL27-AK27</f>
        <v/>
      </c>
      <c r="AN27" s="78">
        <f>BUDGET!N27</f>
        <v/>
      </c>
      <c r="AO27" s="78">
        <f>RÉALISÉ!N27</f>
        <v/>
      </c>
      <c r="AP27" s="78">
        <f>AO27-AN27</f>
        <v/>
      </c>
      <c r="AQ27" s="78">
        <f>BUDGET!O27</f>
        <v/>
      </c>
      <c r="AR27" s="78">
        <f>RÉALISÉ!O27</f>
        <v/>
      </c>
      <c r="AS27" s="78">
        <f>AR27-AQ27</f>
        <v/>
      </c>
    </row>
    <row r="28" ht="18" customHeight="1">
      <c r="C28" s="79" t="inlineStr">
        <is>
          <t xml:space="preserve">            Sortie Noël 2024 - Royer</t>
        </is>
      </c>
      <c r="D28" s="80">
        <f>BUDGET!D28+BUDGET!E28+BUDGET!F28+BUDGET!G28+BUDGET!H28+BUDGET!I28+BUDGET!J28+BUDGET!K28+BUDGET!L28+BUDGET!M28+BUDGET!N28+BUDGET!O28</f>
        <v/>
      </c>
      <c r="E28" s="80">
        <f>RÉALISÉ!D28+RÉALISÉ!E28+RÉALISÉ!F28+RÉALISÉ!G28+RÉALISÉ!H28+RÉALISÉ!I28+RÉALISÉ!J28+RÉALISÉ!K28+RÉALISÉ!L28+RÉALISÉ!M28+RÉALISÉ!N28+RÉALISÉ!O28</f>
        <v/>
      </c>
      <c r="F28" s="80" t="inlineStr"/>
      <c r="G28" s="74">
        <f>D28-E28</f>
        <v/>
      </c>
      <c r="H28" s="75">
        <f>IF(D28&lt;&gt;0,E28/D28,"")</f>
        <v/>
      </c>
      <c r="I28" s="76">
        <f>IF(D28=0,"—",IF(H28&gt;=1.1,"🔴 Dépassé",IF(H28&gt;=0.9,"🟠 Attention",IF(H28&gt;=0.5,"🟢 OK","🔵 En cours"))))</f>
        <v/>
      </c>
      <c r="J28" s="77">
        <f>BUDGET!D28</f>
        <v/>
      </c>
      <c r="K28" s="77">
        <f>RÉALISÉ!D28</f>
        <v/>
      </c>
      <c r="L28" s="77">
        <f>K28-J28</f>
        <v/>
      </c>
      <c r="M28" s="77">
        <f>BUDGET!E28</f>
        <v/>
      </c>
      <c r="N28" s="77">
        <f>RÉALISÉ!E28</f>
        <v/>
      </c>
      <c r="O28" s="77">
        <f>N28-M28</f>
        <v/>
      </c>
      <c r="P28" s="77">
        <f>BUDGET!F28</f>
        <v/>
      </c>
      <c r="Q28" s="77">
        <f>RÉALISÉ!F28</f>
        <v/>
      </c>
      <c r="R28" s="77">
        <f>Q28-P28</f>
        <v/>
      </c>
      <c r="S28" s="78">
        <f>BUDGET!G28</f>
        <v/>
      </c>
      <c r="T28" s="78">
        <f>RÉALISÉ!G28</f>
        <v/>
      </c>
      <c r="U28" s="78">
        <f>T28-S28</f>
        <v/>
      </c>
      <c r="V28" s="78">
        <f>BUDGET!H28</f>
        <v/>
      </c>
      <c r="W28" s="78">
        <f>RÉALISÉ!H28</f>
        <v/>
      </c>
      <c r="X28" s="78">
        <f>W28-V28</f>
        <v/>
      </c>
      <c r="Y28" s="78">
        <f>BUDGET!I28</f>
        <v/>
      </c>
      <c r="Z28" s="78">
        <f>RÉALISÉ!I28</f>
        <v/>
      </c>
      <c r="AA28" s="78">
        <f>Z28-Y28</f>
        <v/>
      </c>
      <c r="AB28" s="78">
        <f>BUDGET!J28</f>
        <v/>
      </c>
      <c r="AC28" s="78">
        <f>RÉALISÉ!J28</f>
        <v/>
      </c>
      <c r="AD28" s="78">
        <f>AC28-AB28</f>
        <v/>
      </c>
      <c r="AE28" s="78">
        <f>BUDGET!K28</f>
        <v/>
      </c>
      <c r="AF28" s="78">
        <f>RÉALISÉ!K28</f>
        <v/>
      </c>
      <c r="AG28" s="78">
        <f>AF28-AE28</f>
        <v/>
      </c>
      <c r="AH28" s="78">
        <f>BUDGET!L28</f>
        <v/>
      </c>
      <c r="AI28" s="78">
        <f>RÉALISÉ!L28</f>
        <v/>
      </c>
      <c r="AJ28" s="78">
        <f>AI28-AH28</f>
        <v/>
      </c>
      <c r="AK28" s="78">
        <f>BUDGET!M28</f>
        <v/>
      </c>
      <c r="AL28" s="78">
        <f>RÉALISÉ!M28</f>
        <v/>
      </c>
      <c r="AM28" s="78">
        <f>AL28-AK28</f>
        <v/>
      </c>
      <c r="AN28" s="78">
        <f>BUDGET!N28</f>
        <v/>
      </c>
      <c r="AO28" s="78">
        <f>RÉALISÉ!N28</f>
        <v/>
      </c>
      <c r="AP28" s="78">
        <f>AO28-AN28</f>
        <v/>
      </c>
      <c r="AQ28" s="78">
        <f>BUDGET!O28</f>
        <v/>
      </c>
      <c r="AR28" s="78">
        <f>RÉALISÉ!O28</f>
        <v/>
      </c>
      <c r="AS28" s="78">
        <f>AR28-AQ28</f>
        <v/>
      </c>
    </row>
    <row r="29" ht="18" customHeight="1">
      <c r="C29" s="83" t="inlineStr">
        <is>
          <t xml:space="preserve">    Activités de loisirs</t>
        </is>
      </c>
      <c r="D29" s="84">
        <f>BUDGET!D29+BUDGET!E29+BUDGET!F29+BUDGET!G29+BUDGET!H29+BUDGET!I29+BUDGET!J29+BUDGET!K29+BUDGET!L29+BUDGET!M29+BUDGET!N29+BUDGET!O29</f>
        <v/>
      </c>
      <c r="E29" s="84">
        <f>RÉALISÉ!D29+RÉALISÉ!E29+RÉALISÉ!F29+RÉALISÉ!G29+RÉALISÉ!H29+RÉALISÉ!I29+RÉALISÉ!J29+RÉALISÉ!K29+RÉALISÉ!L29+RÉALISÉ!M29+RÉALISÉ!N29+RÉALISÉ!O29</f>
        <v/>
      </c>
      <c r="F29" s="84" t="inlineStr"/>
      <c r="G29" s="74">
        <f>D29-E29</f>
        <v/>
      </c>
      <c r="H29" s="75">
        <f>IF(D29&lt;&gt;0,E29/D29,"")</f>
        <v/>
      </c>
      <c r="I29" s="76">
        <f>IF(D29=0,"—",IF(H29&gt;=1.1,"🔴 Dépassé",IF(H29&gt;=0.9,"🟠 Attention",IF(H29&gt;=0.5,"🟢 OK","🔵 En cours"))))</f>
        <v/>
      </c>
      <c r="J29" s="77">
        <f>BUDGET!D29</f>
        <v/>
      </c>
      <c r="K29" s="77">
        <f>RÉALISÉ!D29</f>
        <v/>
      </c>
      <c r="L29" s="77">
        <f>K29-J29</f>
        <v/>
      </c>
      <c r="M29" s="77">
        <f>BUDGET!E29</f>
        <v/>
      </c>
      <c r="N29" s="77">
        <f>RÉALISÉ!E29</f>
        <v/>
      </c>
      <c r="O29" s="77">
        <f>N29-M29</f>
        <v/>
      </c>
      <c r="P29" s="77">
        <f>BUDGET!F29</f>
        <v/>
      </c>
      <c r="Q29" s="77">
        <f>RÉALISÉ!F29</f>
        <v/>
      </c>
      <c r="R29" s="77">
        <f>Q29-P29</f>
        <v/>
      </c>
      <c r="S29" s="78">
        <f>BUDGET!G29</f>
        <v/>
      </c>
      <c r="T29" s="78">
        <f>RÉALISÉ!G29</f>
        <v/>
      </c>
      <c r="U29" s="78">
        <f>T29-S29</f>
        <v/>
      </c>
      <c r="V29" s="78">
        <f>BUDGET!H29</f>
        <v/>
      </c>
      <c r="W29" s="78">
        <f>RÉALISÉ!H29</f>
        <v/>
      </c>
      <c r="X29" s="78">
        <f>W29-V29</f>
        <v/>
      </c>
      <c r="Y29" s="78">
        <f>BUDGET!I29</f>
        <v/>
      </c>
      <c r="Z29" s="78">
        <f>RÉALISÉ!I29</f>
        <v/>
      </c>
      <c r="AA29" s="78">
        <f>Z29-Y29</f>
        <v/>
      </c>
      <c r="AB29" s="78">
        <f>BUDGET!J29</f>
        <v/>
      </c>
      <c r="AC29" s="78">
        <f>RÉALISÉ!J29</f>
        <v/>
      </c>
      <c r="AD29" s="78">
        <f>AC29-AB29</f>
        <v/>
      </c>
      <c r="AE29" s="78">
        <f>BUDGET!K29</f>
        <v/>
      </c>
      <c r="AF29" s="78">
        <f>RÉALISÉ!K29</f>
        <v/>
      </c>
      <c r="AG29" s="78">
        <f>AF29-AE29</f>
        <v/>
      </c>
      <c r="AH29" s="78">
        <f>BUDGET!L29</f>
        <v/>
      </c>
      <c r="AI29" s="78">
        <f>RÉALISÉ!L29</f>
        <v/>
      </c>
      <c r="AJ29" s="78">
        <f>AI29-AH29</f>
        <v/>
      </c>
      <c r="AK29" s="78">
        <f>BUDGET!M29</f>
        <v/>
      </c>
      <c r="AL29" s="78">
        <f>RÉALISÉ!M29</f>
        <v/>
      </c>
      <c r="AM29" s="78">
        <f>AL29-AK29</f>
        <v/>
      </c>
      <c r="AN29" s="78">
        <f>BUDGET!N29</f>
        <v/>
      </c>
      <c r="AO29" s="78">
        <f>RÉALISÉ!N29</f>
        <v/>
      </c>
      <c r="AP29" s="78">
        <f>AO29-AN29</f>
        <v/>
      </c>
      <c r="AQ29" s="78">
        <f>BUDGET!O29</f>
        <v/>
      </c>
      <c r="AR29" s="78">
        <f>RÉALISÉ!O29</f>
        <v/>
      </c>
      <c r="AS29" s="78">
        <f>AR29-AQ29</f>
        <v/>
      </c>
    </row>
    <row r="30" ht="18" customHeight="1">
      <c r="C30" s="72" t="inlineStr">
        <is>
          <t xml:space="preserve">    Activités sportives</t>
        </is>
      </c>
      <c r="D30" s="73">
        <f>BUDGET!D30+BUDGET!E30+BUDGET!F30+BUDGET!G30+BUDGET!H30+BUDGET!I30+BUDGET!J30+BUDGET!K30+BUDGET!L30+BUDGET!M30+BUDGET!N30+BUDGET!O30</f>
        <v/>
      </c>
      <c r="E30" s="73">
        <f>RÉALISÉ!D30+RÉALISÉ!E30+RÉALISÉ!F30+RÉALISÉ!G30+RÉALISÉ!H30+RÉALISÉ!I30+RÉALISÉ!J30+RÉALISÉ!K30+RÉALISÉ!L30+RÉALISÉ!M30+RÉALISÉ!N30+RÉALISÉ!O30</f>
        <v/>
      </c>
      <c r="F30" s="73" t="inlineStr"/>
      <c r="G30" s="74">
        <f>D30-E30</f>
        <v/>
      </c>
      <c r="H30" s="75">
        <f>IF(D30&lt;&gt;0,E30/D30,"")</f>
        <v/>
      </c>
      <c r="I30" s="76">
        <f>IF(D30=0,"—",IF(H30&gt;=1.1,"🔴 Dépassé",IF(H30&gt;=0.9,"🟠 Attention",IF(H30&gt;=0.5,"🟢 OK","🔵 En cours"))))</f>
        <v/>
      </c>
      <c r="J30" s="77">
        <f>BUDGET!D30</f>
        <v/>
      </c>
      <c r="K30" s="77">
        <f>RÉALISÉ!D30</f>
        <v/>
      </c>
      <c r="L30" s="77">
        <f>K30-J30</f>
        <v/>
      </c>
      <c r="M30" s="77">
        <f>BUDGET!E30</f>
        <v/>
      </c>
      <c r="N30" s="77">
        <f>RÉALISÉ!E30</f>
        <v/>
      </c>
      <c r="O30" s="77">
        <f>N30-M30</f>
        <v/>
      </c>
      <c r="P30" s="77">
        <f>BUDGET!F30</f>
        <v/>
      </c>
      <c r="Q30" s="77">
        <f>RÉALISÉ!F30</f>
        <v/>
      </c>
      <c r="R30" s="77">
        <f>Q30-P30</f>
        <v/>
      </c>
      <c r="S30" s="78">
        <f>BUDGET!G30</f>
        <v/>
      </c>
      <c r="T30" s="78">
        <f>RÉALISÉ!G30</f>
        <v/>
      </c>
      <c r="U30" s="78">
        <f>T30-S30</f>
        <v/>
      </c>
      <c r="V30" s="78">
        <f>BUDGET!H30</f>
        <v/>
      </c>
      <c r="W30" s="78">
        <f>RÉALISÉ!H30</f>
        <v/>
      </c>
      <c r="X30" s="78">
        <f>W30-V30</f>
        <v/>
      </c>
      <c r="Y30" s="78">
        <f>BUDGET!I30</f>
        <v/>
      </c>
      <c r="Z30" s="78">
        <f>RÉALISÉ!I30</f>
        <v/>
      </c>
      <c r="AA30" s="78">
        <f>Z30-Y30</f>
        <v/>
      </c>
      <c r="AB30" s="78">
        <f>BUDGET!J30</f>
        <v/>
      </c>
      <c r="AC30" s="78">
        <f>RÉALISÉ!J30</f>
        <v/>
      </c>
      <c r="AD30" s="78">
        <f>AC30-AB30</f>
        <v/>
      </c>
      <c r="AE30" s="78">
        <f>BUDGET!K30</f>
        <v/>
      </c>
      <c r="AF30" s="78">
        <f>RÉALISÉ!K30</f>
        <v/>
      </c>
      <c r="AG30" s="78">
        <f>AF30-AE30</f>
        <v/>
      </c>
      <c r="AH30" s="78">
        <f>BUDGET!L30</f>
        <v/>
      </c>
      <c r="AI30" s="78">
        <f>RÉALISÉ!L30</f>
        <v/>
      </c>
      <c r="AJ30" s="78">
        <f>AI30-AH30</f>
        <v/>
      </c>
      <c r="AK30" s="78">
        <f>BUDGET!M30</f>
        <v/>
      </c>
      <c r="AL30" s="78">
        <f>RÉALISÉ!M30</f>
        <v/>
      </c>
      <c r="AM30" s="78">
        <f>AL30-AK30</f>
        <v/>
      </c>
      <c r="AN30" s="78">
        <f>BUDGET!N30</f>
        <v/>
      </c>
      <c r="AO30" s="78">
        <f>RÉALISÉ!N30</f>
        <v/>
      </c>
      <c r="AP30" s="78">
        <f>AO30-AN30</f>
        <v/>
      </c>
      <c r="AQ30" s="78">
        <f>BUDGET!O30</f>
        <v/>
      </c>
      <c r="AR30" s="78">
        <f>RÉALISÉ!O30</f>
        <v/>
      </c>
      <c r="AS30" s="78">
        <f>AR30-AQ30</f>
        <v/>
      </c>
    </row>
    <row r="31" ht="18" customHeight="1">
      <c r="C31" s="83" t="inlineStr">
        <is>
          <t xml:space="preserve">    Aides aux voyages</t>
        </is>
      </c>
      <c r="D31" s="84">
        <f>BUDGET!D31+BUDGET!E31+BUDGET!F31+BUDGET!G31+BUDGET!H31+BUDGET!I31+BUDGET!J31+BUDGET!K31+BUDGET!L31+BUDGET!M31+BUDGET!N31+BUDGET!O31</f>
        <v/>
      </c>
      <c r="E31" s="84">
        <f>RÉALISÉ!D31+RÉALISÉ!E31+RÉALISÉ!F31+RÉALISÉ!G31+RÉALISÉ!H31+RÉALISÉ!I31+RÉALISÉ!J31+RÉALISÉ!K31+RÉALISÉ!L31+RÉALISÉ!M31+RÉALISÉ!N31+RÉALISÉ!O31</f>
        <v/>
      </c>
      <c r="F31" s="84" t="inlineStr"/>
      <c r="G31" s="74">
        <f>D31-E31</f>
        <v/>
      </c>
      <c r="H31" s="75">
        <f>IF(D31&lt;&gt;0,E31/D31,"")</f>
        <v/>
      </c>
      <c r="I31" s="76">
        <f>IF(D31=0,"—",IF(H31&gt;=1.1,"🔴 Dépassé",IF(H31&gt;=0.9,"🟠 Attention",IF(H31&gt;=0.5,"🟢 OK","🔵 En cours"))))</f>
        <v/>
      </c>
      <c r="J31" s="77">
        <f>BUDGET!D31</f>
        <v/>
      </c>
      <c r="K31" s="77">
        <f>RÉALISÉ!D31</f>
        <v/>
      </c>
      <c r="L31" s="77">
        <f>K31-J31</f>
        <v/>
      </c>
      <c r="M31" s="77">
        <f>BUDGET!E31</f>
        <v/>
      </c>
      <c r="N31" s="77">
        <f>RÉALISÉ!E31</f>
        <v/>
      </c>
      <c r="O31" s="77">
        <f>N31-M31</f>
        <v/>
      </c>
      <c r="P31" s="77">
        <f>BUDGET!F31</f>
        <v/>
      </c>
      <c r="Q31" s="77">
        <f>RÉALISÉ!F31</f>
        <v/>
      </c>
      <c r="R31" s="77">
        <f>Q31-P31</f>
        <v/>
      </c>
      <c r="S31" s="78">
        <f>BUDGET!G31</f>
        <v/>
      </c>
      <c r="T31" s="78">
        <f>RÉALISÉ!G31</f>
        <v/>
      </c>
      <c r="U31" s="78">
        <f>T31-S31</f>
        <v/>
      </c>
      <c r="V31" s="78">
        <f>BUDGET!H31</f>
        <v/>
      </c>
      <c r="W31" s="78">
        <f>RÉALISÉ!H31</f>
        <v/>
      </c>
      <c r="X31" s="78">
        <f>W31-V31</f>
        <v/>
      </c>
      <c r="Y31" s="78">
        <f>BUDGET!I31</f>
        <v/>
      </c>
      <c r="Z31" s="78">
        <f>RÉALISÉ!I31</f>
        <v/>
      </c>
      <c r="AA31" s="78">
        <f>Z31-Y31</f>
        <v/>
      </c>
      <c r="AB31" s="78">
        <f>BUDGET!J31</f>
        <v/>
      </c>
      <c r="AC31" s="78">
        <f>RÉALISÉ!J31</f>
        <v/>
      </c>
      <c r="AD31" s="78">
        <f>AC31-AB31</f>
        <v/>
      </c>
      <c r="AE31" s="78">
        <f>BUDGET!K31</f>
        <v/>
      </c>
      <c r="AF31" s="78">
        <f>RÉALISÉ!K31</f>
        <v/>
      </c>
      <c r="AG31" s="78">
        <f>AF31-AE31</f>
        <v/>
      </c>
      <c r="AH31" s="78">
        <f>BUDGET!L31</f>
        <v/>
      </c>
      <c r="AI31" s="78">
        <f>RÉALISÉ!L31</f>
        <v/>
      </c>
      <c r="AJ31" s="78">
        <f>AI31-AH31</f>
        <v/>
      </c>
      <c r="AK31" s="78">
        <f>BUDGET!M31</f>
        <v/>
      </c>
      <c r="AL31" s="78">
        <f>RÉALISÉ!M31</f>
        <v/>
      </c>
      <c r="AM31" s="78">
        <f>AL31-AK31</f>
        <v/>
      </c>
      <c r="AN31" s="78">
        <f>BUDGET!N31</f>
        <v/>
      </c>
      <c r="AO31" s="78">
        <f>RÉALISÉ!N31</f>
        <v/>
      </c>
      <c r="AP31" s="78">
        <f>AO31-AN31</f>
        <v/>
      </c>
      <c r="AQ31" s="78">
        <f>BUDGET!O31</f>
        <v/>
      </c>
      <c r="AR31" s="78">
        <f>RÉALISÉ!O31</f>
        <v/>
      </c>
      <c r="AS31" s="78">
        <f>AR31-AQ31</f>
        <v/>
      </c>
    </row>
    <row r="32" ht="18" customHeight="1">
      <c r="C32" s="72" t="inlineStr">
        <is>
          <t xml:space="preserve">    Aides sociales</t>
        </is>
      </c>
      <c r="D32" s="73">
        <f>BUDGET!D32+BUDGET!E32+BUDGET!F32+BUDGET!G32+BUDGET!H32+BUDGET!I32+BUDGET!J32+BUDGET!K32+BUDGET!L32+BUDGET!M32+BUDGET!N32+BUDGET!O32</f>
        <v/>
      </c>
      <c r="E32" s="73">
        <f>RÉALISÉ!D32+RÉALISÉ!E32+RÉALISÉ!F32+RÉALISÉ!G32+RÉALISÉ!H32+RÉALISÉ!I32+RÉALISÉ!J32+RÉALISÉ!K32+RÉALISÉ!L32+RÉALISÉ!M32+RÉALISÉ!N32+RÉALISÉ!O32</f>
        <v/>
      </c>
      <c r="F32" s="73" t="inlineStr"/>
      <c r="G32" s="74">
        <f>D32-E32</f>
        <v/>
      </c>
      <c r="H32" s="75">
        <f>IF(D32&lt;&gt;0,E32/D32,"")</f>
        <v/>
      </c>
      <c r="I32" s="76">
        <f>IF(D32=0,"—",IF(H32&gt;=1.1,"🔴 Dépassé",IF(H32&gt;=0.9,"🟠 Attention",IF(H32&gt;=0.5,"🟢 OK","🔵 En cours"))))</f>
        <v/>
      </c>
      <c r="J32" s="77">
        <f>BUDGET!D32</f>
        <v/>
      </c>
      <c r="K32" s="77">
        <f>RÉALISÉ!D32</f>
        <v/>
      </c>
      <c r="L32" s="77">
        <f>K32-J32</f>
        <v/>
      </c>
      <c r="M32" s="77">
        <f>BUDGET!E32</f>
        <v/>
      </c>
      <c r="N32" s="77">
        <f>RÉALISÉ!E32</f>
        <v/>
      </c>
      <c r="O32" s="77">
        <f>N32-M32</f>
        <v/>
      </c>
      <c r="P32" s="77">
        <f>BUDGET!F32</f>
        <v/>
      </c>
      <c r="Q32" s="77">
        <f>RÉALISÉ!F32</f>
        <v/>
      </c>
      <c r="R32" s="77">
        <f>Q32-P32</f>
        <v/>
      </c>
      <c r="S32" s="78">
        <f>BUDGET!G32</f>
        <v/>
      </c>
      <c r="T32" s="78">
        <f>RÉALISÉ!G32</f>
        <v/>
      </c>
      <c r="U32" s="78">
        <f>T32-S32</f>
        <v/>
      </c>
      <c r="V32" s="78">
        <f>BUDGET!H32</f>
        <v/>
      </c>
      <c r="W32" s="78">
        <f>RÉALISÉ!H32</f>
        <v/>
      </c>
      <c r="X32" s="78">
        <f>W32-V32</f>
        <v/>
      </c>
      <c r="Y32" s="78">
        <f>BUDGET!I32</f>
        <v/>
      </c>
      <c r="Z32" s="78">
        <f>RÉALISÉ!I32</f>
        <v/>
      </c>
      <c r="AA32" s="78">
        <f>Z32-Y32</f>
        <v/>
      </c>
      <c r="AB32" s="78">
        <f>BUDGET!J32</f>
        <v/>
      </c>
      <c r="AC32" s="78">
        <f>RÉALISÉ!J32</f>
        <v/>
      </c>
      <c r="AD32" s="78">
        <f>AC32-AB32</f>
        <v/>
      </c>
      <c r="AE32" s="78">
        <f>BUDGET!K32</f>
        <v/>
      </c>
      <c r="AF32" s="78">
        <f>RÉALISÉ!K32</f>
        <v/>
      </c>
      <c r="AG32" s="78">
        <f>AF32-AE32</f>
        <v/>
      </c>
      <c r="AH32" s="78">
        <f>BUDGET!L32</f>
        <v/>
      </c>
      <c r="AI32" s="78">
        <f>RÉALISÉ!L32</f>
        <v/>
      </c>
      <c r="AJ32" s="78">
        <f>AI32-AH32</f>
        <v/>
      </c>
      <c r="AK32" s="78">
        <f>BUDGET!M32</f>
        <v/>
      </c>
      <c r="AL32" s="78">
        <f>RÉALISÉ!M32</f>
        <v/>
      </c>
      <c r="AM32" s="78">
        <f>AL32-AK32</f>
        <v/>
      </c>
      <c r="AN32" s="78">
        <f>BUDGET!N32</f>
        <v/>
      </c>
      <c r="AO32" s="78">
        <f>RÉALISÉ!N32</f>
        <v/>
      </c>
      <c r="AP32" s="78">
        <f>AO32-AN32</f>
        <v/>
      </c>
      <c r="AQ32" s="78">
        <f>BUDGET!O32</f>
        <v/>
      </c>
      <c r="AR32" s="78">
        <f>RÉALISÉ!O32</f>
        <v/>
      </c>
      <c r="AS32" s="78">
        <f>AR32-AQ32</f>
        <v/>
      </c>
    </row>
    <row r="33" ht="18" customHeight="1">
      <c r="C33" s="83" t="inlineStr">
        <is>
          <t xml:space="preserve">    Alimentaire</t>
        </is>
      </c>
      <c r="D33" s="84">
        <f>BUDGET!D33+BUDGET!E33+BUDGET!F33+BUDGET!G33+BUDGET!H33+BUDGET!I33+BUDGET!J33+BUDGET!K33+BUDGET!L33+BUDGET!M33+BUDGET!N33+BUDGET!O33</f>
        <v/>
      </c>
      <c r="E33" s="84">
        <f>RÉALISÉ!D33+RÉALISÉ!E33+RÉALISÉ!F33+RÉALISÉ!G33+RÉALISÉ!H33+RÉALISÉ!I33+RÉALISÉ!J33+RÉALISÉ!K33+RÉALISÉ!L33+RÉALISÉ!M33+RÉALISÉ!N33+RÉALISÉ!O33</f>
        <v/>
      </c>
      <c r="F33" s="84" t="inlineStr"/>
      <c r="G33" s="74">
        <f>D33-E33</f>
        <v/>
      </c>
      <c r="H33" s="75">
        <f>IF(D33&lt;&gt;0,E33/D33,"")</f>
        <v/>
      </c>
      <c r="I33" s="76">
        <f>IF(D33=0,"—",IF(H33&gt;=1.1,"🔴 Dépassé",IF(H33&gt;=0.9,"🟠 Attention",IF(H33&gt;=0.5,"🟢 OK","🔵 En cours"))))</f>
        <v/>
      </c>
      <c r="J33" s="77">
        <f>BUDGET!D33</f>
        <v/>
      </c>
      <c r="K33" s="77">
        <f>RÉALISÉ!D33</f>
        <v/>
      </c>
      <c r="L33" s="77">
        <f>K33-J33</f>
        <v/>
      </c>
      <c r="M33" s="77">
        <f>BUDGET!E33</f>
        <v/>
      </c>
      <c r="N33" s="77">
        <f>RÉALISÉ!E33</f>
        <v/>
      </c>
      <c r="O33" s="77">
        <f>N33-M33</f>
        <v/>
      </c>
      <c r="P33" s="77">
        <f>BUDGET!F33</f>
        <v/>
      </c>
      <c r="Q33" s="77">
        <f>RÉALISÉ!F33</f>
        <v/>
      </c>
      <c r="R33" s="77">
        <f>Q33-P33</f>
        <v/>
      </c>
      <c r="S33" s="78">
        <f>BUDGET!G33</f>
        <v/>
      </c>
      <c r="T33" s="78">
        <f>RÉALISÉ!G33</f>
        <v/>
      </c>
      <c r="U33" s="78">
        <f>T33-S33</f>
        <v/>
      </c>
      <c r="V33" s="78">
        <f>BUDGET!H33</f>
        <v/>
      </c>
      <c r="W33" s="78">
        <f>RÉALISÉ!H33</f>
        <v/>
      </c>
      <c r="X33" s="78">
        <f>W33-V33</f>
        <v/>
      </c>
      <c r="Y33" s="78">
        <f>BUDGET!I33</f>
        <v/>
      </c>
      <c r="Z33" s="78">
        <f>RÉALISÉ!I33</f>
        <v/>
      </c>
      <c r="AA33" s="78">
        <f>Z33-Y33</f>
        <v/>
      </c>
      <c r="AB33" s="78">
        <f>BUDGET!J33</f>
        <v/>
      </c>
      <c r="AC33" s="78">
        <f>RÉALISÉ!J33</f>
        <v/>
      </c>
      <c r="AD33" s="78">
        <f>AC33-AB33</f>
        <v/>
      </c>
      <c r="AE33" s="78">
        <f>BUDGET!K33</f>
        <v/>
      </c>
      <c r="AF33" s="78">
        <f>RÉALISÉ!K33</f>
        <v/>
      </c>
      <c r="AG33" s="78">
        <f>AF33-AE33</f>
        <v/>
      </c>
      <c r="AH33" s="78">
        <f>BUDGET!L33</f>
        <v/>
      </c>
      <c r="AI33" s="78">
        <f>RÉALISÉ!L33</f>
        <v/>
      </c>
      <c r="AJ33" s="78">
        <f>AI33-AH33</f>
        <v/>
      </c>
      <c r="AK33" s="78">
        <f>BUDGET!M33</f>
        <v/>
      </c>
      <c r="AL33" s="78">
        <f>RÉALISÉ!M33</f>
        <v/>
      </c>
      <c r="AM33" s="78">
        <f>AL33-AK33</f>
        <v/>
      </c>
      <c r="AN33" s="78">
        <f>BUDGET!N33</f>
        <v/>
      </c>
      <c r="AO33" s="78">
        <f>RÉALISÉ!N33</f>
        <v/>
      </c>
      <c r="AP33" s="78">
        <f>AO33-AN33</f>
        <v/>
      </c>
      <c r="AQ33" s="78">
        <f>BUDGET!O33</f>
        <v/>
      </c>
      <c r="AR33" s="78">
        <f>RÉALISÉ!O33</f>
        <v/>
      </c>
      <c r="AS33" s="78">
        <f>AR33-AQ33</f>
        <v/>
      </c>
    </row>
    <row r="34" ht="18" customHeight="1">
      <c r="C34" s="72" t="inlineStr">
        <is>
          <t xml:space="preserve">    Assurance</t>
        </is>
      </c>
      <c r="D34" s="73">
        <f>BUDGET!D34+BUDGET!E34+BUDGET!F34+BUDGET!G34+BUDGET!H34+BUDGET!I34+BUDGET!J34+BUDGET!K34+BUDGET!L34+BUDGET!M34+BUDGET!N34+BUDGET!O34</f>
        <v/>
      </c>
      <c r="E34" s="73">
        <f>RÉALISÉ!D34+RÉALISÉ!E34+RÉALISÉ!F34+RÉALISÉ!G34+RÉALISÉ!H34+RÉALISÉ!I34+RÉALISÉ!J34+RÉALISÉ!K34+RÉALISÉ!L34+RÉALISÉ!M34+RÉALISÉ!N34+RÉALISÉ!O34</f>
        <v/>
      </c>
      <c r="F34" s="73" t="inlineStr"/>
      <c r="G34" s="74">
        <f>D34-E34</f>
        <v/>
      </c>
      <c r="H34" s="75">
        <f>IF(D34&lt;&gt;0,E34/D34,"")</f>
        <v/>
      </c>
      <c r="I34" s="76">
        <f>IF(D34=0,"—",IF(H34&gt;=1.1,"🔴 Dépassé",IF(H34&gt;=0.9,"🟠 Attention",IF(H34&gt;=0.5,"🟢 OK","🔵 En cours"))))</f>
        <v/>
      </c>
      <c r="J34" s="77">
        <f>BUDGET!D34</f>
        <v/>
      </c>
      <c r="K34" s="77">
        <f>RÉALISÉ!D34</f>
        <v/>
      </c>
      <c r="L34" s="77">
        <f>K34-J34</f>
        <v/>
      </c>
      <c r="M34" s="77">
        <f>BUDGET!E34</f>
        <v/>
      </c>
      <c r="N34" s="77">
        <f>RÉALISÉ!E34</f>
        <v/>
      </c>
      <c r="O34" s="77">
        <f>N34-M34</f>
        <v/>
      </c>
      <c r="P34" s="77">
        <f>BUDGET!F34</f>
        <v/>
      </c>
      <c r="Q34" s="77">
        <f>RÉALISÉ!F34</f>
        <v/>
      </c>
      <c r="R34" s="77">
        <f>Q34-P34</f>
        <v/>
      </c>
      <c r="S34" s="78">
        <f>BUDGET!G34</f>
        <v/>
      </c>
      <c r="T34" s="78">
        <f>RÉALISÉ!G34</f>
        <v/>
      </c>
      <c r="U34" s="78">
        <f>T34-S34</f>
        <v/>
      </c>
      <c r="V34" s="78">
        <f>BUDGET!H34</f>
        <v/>
      </c>
      <c r="W34" s="78">
        <f>RÉALISÉ!H34</f>
        <v/>
      </c>
      <c r="X34" s="78">
        <f>W34-V34</f>
        <v/>
      </c>
      <c r="Y34" s="78">
        <f>BUDGET!I34</f>
        <v/>
      </c>
      <c r="Z34" s="78">
        <f>RÉALISÉ!I34</f>
        <v/>
      </c>
      <c r="AA34" s="78">
        <f>Z34-Y34</f>
        <v/>
      </c>
      <c r="AB34" s="78">
        <f>BUDGET!J34</f>
        <v/>
      </c>
      <c r="AC34" s="78">
        <f>RÉALISÉ!J34</f>
        <v/>
      </c>
      <c r="AD34" s="78">
        <f>AC34-AB34</f>
        <v/>
      </c>
      <c r="AE34" s="78">
        <f>BUDGET!K34</f>
        <v/>
      </c>
      <c r="AF34" s="78">
        <f>RÉALISÉ!K34</f>
        <v/>
      </c>
      <c r="AG34" s="78">
        <f>AF34-AE34</f>
        <v/>
      </c>
      <c r="AH34" s="78">
        <f>BUDGET!L34</f>
        <v/>
      </c>
      <c r="AI34" s="78">
        <f>RÉALISÉ!L34</f>
        <v/>
      </c>
      <c r="AJ34" s="78">
        <f>AI34-AH34</f>
        <v/>
      </c>
      <c r="AK34" s="78">
        <f>BUDGET!M34</f>
        <v/>
      </c>
      <c r="AL34" s="78">
        <f>RÉALISÉ!M34</f>
        <v/>
      </c>
      <c r="AM34" s="78">
        <f>AL34-AK34</f>
        <v/>
      </c>
      <c r="AN34" s="78">
        <f>BUDGET!N34</f>
        <v/>
      </c>
      <c r="AO34" s="78">
        <f>RÉALISÉ!N34</f>
        <v/>
      </c>
      <c r="AP34" s="78">
        <f>AO34-AN34</f>
        <v/>
      </c>
      <c r="AQ34" s="78">
        <f>BUDGET!O34</f>
        <v/>
      </c>
      <c r="AR34" s="78">
        <f>RÉALISÉ!O34</f>
        <v/>
      </c>
      <c r="AS34" s="78">
        <f>AR34-AQ34</f>
        <v/>
      </c>
    </row>
    <row r="35" ht="18" customHeight="1">
      <c r="C35" s="83" t="inlineStr">
        <is>
          <t xml:space="preserve">    Bureaux</t>
        </is>
      </c>
      <c r="D35" s="84">
        <f>BUDGET!D35+BUDGET!E35+BUDGET!F35+BUDGET!G35+BUDGET!H35+BUDGET!I35+BUDGET!J35+BUDGET!K35+BUDGET!L35+BUDGET!M35+BUDGET!N35+BUDGET!O35</f>
        <v/>
      </c>
      <c r="E35" s="84">
        <f>RÉALISÉ!D35+RÉALISÉ!E35+RÉALISÉ!F35+RÉALISÉ!G35+RÉALISÉ!H35+RÉALISÉ!I35+RÉALISÉ!J35+RÉALISÉ!K35+RÉALISÉ!L35+RÉALISÉ!M35+RÉALISÉ!N35+RÉALISÉ!O35</f>
        <v/>
      </c>
      <c r="F35" s="84" t="inlineStr"/>
      <c r="G35" s="74">
        <f>D35-E35</f>
        <v/>
      </c>
      <c r="H35" s="75">
        <f>IF(D35&lt;&gt;0,E35/D35,"")</f>
        <v/>
      </c>
      <c r="I35" s="76">
        <f>IF(D35=0,"—",IF(H35&gt;=1.1,"🔴 Dépassé",IF(H35&gt;=0.9,"🟠 Attention",IF(H35&gt;=0.5,"🟢 OK","🔵 En cours"))))</f>
        <v/>
      </c>
      <c r="J35" s="77">
        <f>BUDGET!D35</f>
        <v/>
      </c>
      <c r="K35" s="77">
        <f>RÉALISÉ!D35</f>
        <v/>
      </c>
      <c r="L35" s="77">
        <f>K35-J35</f>
        <v/>
      </c>
      <c r="M35" s="77">
        <f>BUDGET!E35</f>
        <v/>
      </c>
      <c r="N35" s="77">
        <f>RÉALISÉ!E35</f>
        <v/>
      </c>
      <c r="O35" s="77">
        <f>N35-M35</f>
        <v/>
      </c>
      <c r="P35" s="77">
        <f>BUDGET!F35</f>
        <v/>
      </c>
      <c r="Q35" s="77">
        <f>RÉALISÉ!F35</f>
        <v/>
      </c>
      <c r="R35" s="77">
        <f>Q35-P35</f>
        <v/>
      </c>
      <c r="S35" s="78">
        <f>BUDGET!G35</f>
        <v/>
      </c>
      <c r="T35" s="78">
        <f>RÉALISÉ!G35</f>
        <v/>
      </c>
      <c r="U35" s="78">
        <f>T35-S35</f>
        <v/>
      </c>
      <c r="V35" s="78">
        <f>BUDGET!H35</f>
        <v/>
      </c>
      <c r="W35" s="78">
        <f>RÉALISÉ!H35</f>
        <v/>
      </c>
      <c r="X35" s="78">
        <f>W35-V35</f>
        <v/>
      </c>
      <c r="Y35" s="78">
        <f>BUDGET!I35</f>
        <v/>
      </c>
      <c r="Z35" s="78">
        <f>RÉALISÉ!I35</f>
        <v/>
      </c>
      <c r="AA35" s="78">
        <f>Z35-Y35</f>
        <v/>
      </c>
      <c r="AB35" s="78">
        <f>BUDGET!J35</f>
        <v/>
      </c>
      <c r="AC35" s="78">
        <f>RÉALISÉ!J35</f>
        <v/>
      </c>
      <c r="AD35" s="78">
        <f>AC35-AB35</f>
        <v/>
      </c>
      <c r="AE35" s="78">
        <f>BUDGET!K35</f>
        <v/>
      </c>
      <c r="AF35" s="78">
        <f>RÉALISÉ!K35</f>
        <v/>
      </c>
      <c r="AG35" s="78">
        <f>AF35-AE35</f>
        <v/>
      </c>
      <c r="AH35" s="78">
        <f>BUDGET!L35</f>
        <v/>
      </c>
      <c r="AI35" s="78">
        <f>RÉALISÉ!L35</f>
        <v/>
      </c>
      <c r="AJ35" s="78">
        <f>AI35-AH35</f>
        <v/>
      </c>
      <c r="AK35" s="78">
        <f>BUDGET!M35</f>
        <v/>
      </c>
      <c r="AL35" s="78">
        <f>RÉALISÉ!M35</f>
        <v/>
      </c>
      <c r="AM35" s="78">
        <f>AL35-AK35</f>
        <v/>
      </c>
      <c r="AN35" s="78">
        <f>BUDGET!N35</f>
        <v/>
      </c>
      <c r="AO35" s="78">
        <f>RÉALISÉ!N35</f>
        <v/>
      </c>
      <c r="AP35" s="78">
        <f>AO35-AN35</f>
        <v/>
      </c>
      <c r="AQ35" s="78">
        <f>BUDGET!O35</f>
        <v/>
      </c>
      <c r="AR35" s="78">
        <f>RÉALISÉ!O35</f>
        <v/>
      </c>
      <c r="AS35" s="78">
        <f>AR35-AQ35</f>
        <v/>
      </c>
    </row>
    <row r="36" ht="18" customHeight="1">
      <c r="C36" s="72" t="inlineStr">
        <is>
          <t xml:space="preserve">    Cadeaux et bons d'achat</t>
        </is>
      </c>
      <c r="D36" s="73">
        <f>BUDGET!D36+BUDGET!E36+BUDGET!F36+BUDGET!G36+BUDGET!H36+BUDGET!I36+BUDGET!J36+BUDGET!K36+BUDGET!L36+BUDGET!M36+BUDGET!N36+BUDGET!O36</f>
        <v/>
      </c>
      <c r="E36" s="73">
        <f>RÉALISÉ!D36+RÉALISÉ!E36+RÉALISÉ!F36+RÉALISÉ!G36+RÉALISÉ!H36+RÉALISÉ!I36+RÉALISÉ!J36+RÉALISÉ!K36+RÉALISÉ!L36+RÉALISÉ!M36+RÉALISÉ!N36+RÉALISÉ!O36</f>
        <v/>
      </c>
      <c r="F36" s="73" t="inlineStr"/>
      <c r="G36" s="74">
        <f>D36-E36</f>
        <v/>
      </c>
      <c r="H36" s="75">
        <f>IF(D36&lt;&gt;0,E36/D36,"")</f>
        <v/>
      </c>
      <c r="I36" s="76">
        <f>IF(D36=0,"—",IF(H36&gt;=1.1,"🔴 Dépassé",IF(H36&gt;=0.9,"🟠 Attention",IF(H36&gt;=0.5,"🟢 OK","🔵 En cours"))))</f>
        <v/>
      </c>
      <c r="J36" s="77">
        <f>BUDGET!D36</f>
        <v/>
      </c>
      <c r="K36" s="77">
        <f>RÉALISÉ!D36</f>
        <v/>
      </c>
      <c r="L36" s="77">
        <f>K36-J36</f>
        <v/>
      </c>
      <c r="M36" s="77">
        <f>BUDGET!E36</f>
        <v/>
      </c>
      <c r="N36" s="77">
        <f>RÉALISÉ!E36</f>
        <v/>
      </c>
      <c r="O36" s="77">
        <f>N36-M36</f>
        <v/>
      </c>
      <c r="P36" s="77">
        <f>BUDGET!F36</f>
        <v/>
      </c>
      <c r="Q36" s="77">
        <f>RÉALISÉ!F36</f>
        <v/>
      </c>
      <c r="R36" s="77">
        <f>Q36-P36</f>
        <v/>
      </c>
      <c r="S36" s="78">
        <f>BUDGET!G36</f>
        <v/>
      </c>
      <c r="T36" s="78">
        <f>RÉALISÉ!G36</f>
        <v/>
      </c>
      <c r="U36" s="78">
        <f>T36-S36</f>
        <v/>
      </c>
      <c r="V36" s="78">
        <f>BUDGET!H36</f>
        <v/>
      </c>
      <c r="W36" s="78">
        <f>RÉALISÉ!H36</f>
        <v/>
      </c>
      <c r="X36" s="78">
        <f>W36-V36</f>
        <v/>
      </c>
      <c r="Y36" s="78">
        <f>BUDGET!I36</f>
        <v/>
      </c>
      <c r="Z36" s="78">
        <f>RÉALISÉ!I36</f>
        <v/>
      </c>
      <c r="AA36" s="78">
        <f>Z36-Y36</f>
        <v/>
      </c>
      <c r="AB36" s="78">
        <f>BUDGET!J36</f>
        <v/>
      </c>
      <c r="AC36" s="78">
        <f>RÉALISÉ!J36</f>
        <v/>
      </c>
      <c r="AD36" s="78">
        <f>AC36-AB36</f>
        <v/>
      </c>
      <c r="AE36" s="78">
        <f>BUDGET!K36</f>
        <v/>
      </c>
      <c r="AF36" s="78">
        <f>RÉALISÉ!K36</f>
        <v/>
      </c>
      <c r="AG36" s="78">
        <f>AF36-AE36</f>
        <v/>
      </c>
      <c r="AH36" s="78">
        <f>BUDGET!L36</f>
        <v/>
      </c>
      <c r="AI36" s="78">
        <f>RÉALISÉ!L36</f>
        <v/>
      </c>
      <c r="AJ36" s="78">
        <f>AI36-AH36</f>
        <v/>
      </c>
      <c r="AK36" s="78">
        <f>BUDGET!M36</f>
        <v/>
      </c>
      <c r="AL36" s="78">
        <f>RÉALISÉ!M36</f>
        <v/>
      </c>
      <c r="AM36" s="78">
        <f>AL36-AK36</f>
        <v/>
      </c>
      <c r="AN36" s="78">
        <f>BUDGET!N36</f>
        <v/>
      </c>
      <c r="AO36" s="78">
        <f>RÉALISÉ!N36</f>
        <v/>
      </c>
      <c r="AP36" s="78">
        <f>AO36-AN36</f>
        <v/>
      </c>
      <c r="AQ36" s="78">
        <f>BUDGET!O36</f>
        <v/>
      </c>
      <c r="AR36" s="78">
        <f>RÉALISÉ!O36</f>
        <v/>
      </c>
      <c r="AS36" s="78">
        <f>AR36-AQ36</f>
        <v/>
      </c>
    </row>
    <row r="37" ht="18" customHeight="1">
      <c r="C37" s="79" t="inlineStr">
        <is>
          <t xml:space="preserve">        Chèques CADHOC</t>
        </is>
      </c>
      <c r="D37" s="80">
        <f>BUDGET!D37+BUDGET!E37+BUDGET!F37+BUDGET!G37+BUDGET!H37+BUDGET!I37+BUDGET!J37+BUDGET!K37+BUDGET!L37+BUDGET!M37+BUDGET!N37+BUDGET!O37</f>
        <v/>
      </c>
      <c r="E37" s="80">
        <f>RÉALISÉ!D37+RÉALISÉ!E37+RÉALISÉ!F37+RÉALISÉ!G37+RÉALISÉ!H37+RÉALISÉ!I37+RÉALISÉ!J37+RÉALISÉ!K37+RÉALISÉ!L37+RÉALISÉ!M37+RÉALISÉ!N37+RÉALISÉ!O37</f>
        <v/>
      </c>
      <c r="F37" s="80" t="inlineStr"/>
      <c r="G37" s="74">
        <f>D37-E37</f>
        <v/>
      </c>
      <c r="H37" s="75">
        <f>IF(D37&lt;&gt;0,E37/D37,"")</f>
        <v/>
      </c>
      <c r="I37" s="76">
        <f>IF(D37=0,"—",IF(H37&gt;=1.1,"🔴 Dépassé",IF(H37&gt;=0.9,"🟠 Attention",IF(H37&gt;=0.5,"🟢 OK","🔵 En cours"))))</f>
        <v/>
      </c>
      <c r="J37" s="77">
        <f>BUDGET!D37</f>
        <v/>
      </c>
      <c r="K37" s="77">
        <f>RÉALISÉ!D37</f>
        <v/>
      </c>
      <c r="L37" s="77">
        <f>K37-J37</f>
        <v/>
      </c>
      <c r="M37" s="77">
        <f>BUDGET!E37</f>
        <v/>
      </c>
      <c r="N37" s="77">
        <f>RÉALISÉ!E37</f>
        <v/>
      </c>
      <c r="O37" s="77">
        <f>N37-M37</f>
        <v/>
      </c>
      <c r="P37" s="77">
        <f>BUDGET!F37</f>
        <v/>
      </c>
      <c r="Q37" s="77">
        <f>RÉALISÉ!F37</f>
        <v/>
      </c>
      <c r="R37" s="77">
        <f>Q37-P37</f>
        <v/>
      </c>
      <c r="S37" s="78">
        <f>BUDGET!G37</f>
        <v/>
      </c>
      <c r="T37" s="78">
        <f>RÉALISÉ!G37</f>
        <v/>
      </c>
      <c r="U37" s="78">
        <f>T37-S37</f>
        <v/>
      </c>
      <c r="V37" s="78">
        <f>BUDGET!H37</f>
        <v/>
      </c>
      <c r="W37" s="78">
        <f>RÉALISÉ!H37</f>
        <v/>
      </c>
      <c r="X37" s="78">
        <f>W37-V37</f>
        <v/>
      </c>
      <c r="Y37" s="78">
        <f>BUDGET!I37</f>
        <v/>
      </c>
      <c r="Z37" s="78">
        <f>RÉALISÉ!I37</f>
        <v/>
      </c>
      <c r="AA37" s="78">
        <f>Z37-Y37</f>
        <v/>
      </c>
      <c r="AB37" s="78">
        <f>BUDGET!J37</f>
        <v/>
      </c>
      <c r="AC37" s="78">
        <f>RÉALISÉ!J37</f>
        <v/>
      </c>
      <c r="AD37" s="78">
        <f>AC37-AB37</f>
        <v/>
      </c>
      <c r="AE37" s="78">
        <f>BUDGET!K37</f>
        <v/>
      </c>
      <c r="AF37" s="78">
        <f>RÉALISÉ!K37</f>
        <v/>
      </c>
      <c r="AG37" s="78">
        <f>AF37-AE37</f>
        <v/>
      </c>
      <c r="AH37" s="78">
        <f>BUDGET!L37</f>
        <v/>
      </c>
      <c r="AI37" s="78">
        <f>RÉALISÉ!L37</f>
        <v/>
      </c>
      <c r="AJ37" s="78">
        <f>AI37-AH37</f>
        <v/>
      </c>
      <c r="AK37" s="78">
        <f>BUDGET!M37</f>
        <v/>
      </c>
      <c r="AL37" s="78">
        <f>RÉALISÉ!M37</f>
        <v/>
      </c>
      <c r="AM37" s="78">
        <f>AL37-AK37</f>
        <v/>
      </c>
      <c r="AN37" s="78">
        <f>BUDGET!N37</f>
        <v/>
      </c>
      <c r="AO37" s="78">
        <f>RÉALISÉ!N37</f>
        <v/>
      </c>
      <c r="AP37" s="78">
        <f>AO37-AN37</f>
        <v/>
      </c>
      <c r="AQ37" s="78">
        <f>BUDGET!O37</f>
        <v/>
      </c>
      <c r="AR37" s="78">
        <f>RÉALISÉ!O37</f>
        <v/>
      </c>
      <c r="AS37" s="78">
        <f>AR37-AQ37</f>
        <v/>
      </c>
    </row>
    <row r="38" ht="18" customHeight="1">
      <c r="C38" s="72" t="inlineStr">
        <is>
          <t xml:space="preserve">    Chèques-vacances</t>
        </is>
      </c>
      <c r="D38" s="73">
        <f>BUDGET!D38+BUDGET!E38+BUDGET!F38+BUDGET!G38+BUDGET!H38+BUDGET!I38+BUDGET!J38+BUDGET!K38+BUDGET!L38+BUDGET!M38+BUDGET!N38+BUDGET!O38</f>
        <v/>
      </c>
      <c r="E38" s="73">
        <f>RÉALISÉ!D38+RÉALISÉ!E38+RÉALISÉ!F38+RÉALISÉ!G38+RÉALISÉ!H38+RÉALISÉ!I38+RÉALISÉ!J38+RÉALISÉ!K38+RÉALISÉ!L38+RÉALISÉ!M38+RÉALISÉ!N38+RÉALISÉ!O38</f>
        <v/>
      </c>
      <c r="F38" s="73" t="inlineStr"/>
      <c r="G38" s="74">
        <f>D38-E38</f>
        <v/>
      </c>
      <c r="H38" s="75">
        <f>IF(D38&lt;&gt;0,E38/D38,"")</f>
        <v/>
      </c>
      <c r="I38" s="76">
        <f>IF(D38=0,"—",IF(H38&gt;=1.1,"🔴 Dépassé",IF(H38&gt;=0.9,"🟠 Attention",IF(H38&gt;=0.5,"🟢 OK","🔵 En cours"))))</f>
        <v/>
      </c>
      <c r="J38" s="77">
        <f>BUDGET!D38</f>
        <v/>
      </c>
      <c r="K38" s="77">
        <f>RÉALISÉ!D38</f>
        <v/>
      </c>
      <c r="L38" s="77">
        <f>K38-J38</f>
        <v/>
      </c>
      <c r="M38" s="77">
        <f>BUDGET!E38</f>
        <v/>
      </c>
      <c r="N38" s="77">
        <f>RÉALISÉ!E38</f>
        <v/>
      </c>
      <c r="O38" s="77">
        <f>N38-M38</f>
        <v/>
      </c>
      <c r="P38" s="77">
        <f>BUDGET!F38</f>
        <v/>
      </c>
      <c r="Q38" s="77">
        <f>RÉALISÉ!F38</f>
        <v/>
      </c>
      <c r="R38" s="77">
        <f>Q38-P38</f>
        <v/>
      </c>
      <c r="S38" s="78">
        <f>BUDGET!G38</f>
        <v/>
      </c>
      <c r="T38" s="78">
        <f>RÉALISÉ!G38</f>
        <v/>
      </c>
      <c r="U38" s="78">
        <f>T38-S38</f>
        <v/>
      </c>
      <c r="V38" s="78">
        <f>BUDGET!H38</f>
        <v/>
      </c>
      <c r="W38" s="78">
        <f>RÉALISÉ!H38</f>
        <v/>
      </c>
      <c r="X38" s="78">
        <f>W38-V38</f>
        <v/>
      </c>
      <c r="Y38" s="78">
        <f>BUDGET!I38</f>
        <v/>
      </c>
      <c r="Z38" s="78">
        <f>RÉALISÉ!I38</f>
        <v/>
      </c>
      <c r="AA38" s="78">
        <f>Z38-Y38</f>
        <v/>
      </c>
      <c r="AB38" s="78">
        <f>BUDGET!J38</f>
        <v/>
      </c>
      <c r="AC38" s="78">
        <f>RÉALISÉ!J38</f>
        <v/>
      </c>
      <c r="AD38" s="78">
        <f>AC38-AB38</f>
        <v/>
      </c>
      <c r="AE38" s="78">
        <f>BUDGET!K38</f>
        <v/>
      </c>
      <c r="AF38" s="78">
        <f>RÉALISÉ!K38</f>
        <v/>
      </c>
      <c r="AG38" s="78">
        <f>AF38-AE38</f>
        <v/>
      </c>
      <c r="AH38" s="78">
        <f>BUDGET!L38</f>
        <v/>
      </c>
      <c r="AI38" s="78">
        <f>RÉALISÉ!L38</f>
        <v/>
      </c>
      <c r="AJ38" s="78">
        <f>AI38-AH38</f>
        <v/>
      </c>
      <c r="AK38" s="78">
        <f>BUDGET!M38</f>
        <v/>
      </c>
      <c r="AL38" s="78">
        <f>RÉALISÉ!M38</f>
        <v/>
      </c>
      <c r="AM38" s="78">
        <f>AL38-AK38</f>
        <v/>
      </c>
      <c r="AN38" s="78">
        <f>BUDGET!N38</f>
        <v/>
      </c>
      <c r="AO38" s="78">
        <f>RÉALISÉ!N38</f>
        <v/>
      </c>
      <c r="AP38" s="78">
        <f>AO38-AN38</f>
        <v/>
      </c>
      <c r="AQ38" s="78">
        <f>BUDGET!O38</f>
        <v/>
      </c>
      <c r="AR38" s="78">
        <f>RÉALISÉ!O38</f>
        <v/>
      </c>
      <c r="AS38" s="78">
        <f>AR38-AQ38</f>
        <v/>
      </c>
    </row>
    <row r="39" ht="18" customHeight="1">
      <c r="C39" s="79" t="inlineStr">
        <is>
          <t xml:space="preserve">        ANCV</t>
        </is>
      </c>
      <c r="D39" s="80">
        <f>BUDGET!D39+BUDGET!E39+BUDGET!F39+BUDGET!G39+BUDGET!H39+BUDGET!I39+BUDGET!J39+BUDGET!K39+BUDGET!L39+BUDGET!M39+BUDGET!N39+BUDGET!O39</f>
        <v/>
      </c>
      <c r="E39" s="80">
        <f>RÉALISÉ!D39+RÉALISÉ!E39+RÉALISÉ!F39+RÉALISÉ!G39+RÉALISÉ!H39+RÉALISÉ!I39+RÉALISÉ!J39+RÉALISÉ!K39+RÉALISÉ!L39+RÉALISÉ!M39+RÉALISÉ!N39+RÉALISÉ!O39</f>
        <v/>
      </c>
      <c r="F39" s="80" t="inlineStr"/>
      <c r="G39" s="74">
        <f>D39-E39</f>
        <v/>
      </c>
      <c r="H39" s="75">
        <f>IF(D39&lt;&gt;0,E39/D39,"")</f>
        <v/>
      </c>
      <c r="I39" s="76">
        <f>IF(D39=0,"—",IF(H39&gt;=1.1,"🔴 Dépassé",IF(H39&gt;=0.9,"🟠 Attention",IF(H39&gt;=0.5,"🟢 OK","🔵 En cours"))))</f>
        <v/>
      </c>
      <c r="J39" s="77">
        <f>BUDGET!D39</f>
        <v/>
      </c>
      <c r="K39" s="77">
        <f>RÉALISÉ!D39</f>
        <v/>
      </c>
      <c r="L39" s="77">
        <f>K39-J39</f>
        <v/>
      </c>
      <c r="M39" s="77">
        <f>BUDGET!E39</f>
        <v/>
      </c>
      <c r="N39" s="77">
        <f>RÉALISÉ!E39</f>
        <v/>
      </c>
      <c r="O39" s="77">
        <f>N39-M39</f>
        <v/>
      </c>
      <c r="P39" s="77">
        <f>BUDGET!F39</f>
        <v/>
      </c>
      <c r="Q39" s="77">
        <f>RÉALISÉ!F39</f>
        <v/>
      </c>
      <c r="R39" s="77">
        <f>Q39-P39</f>
        <v/>
      </c>
      <c r="S39" s="78">
        <f>BUDGET!G39</f>
        <v/>
      </c>
      <c r="T39" s="78">
        <f>RÉALISÉ!G39</f>
        <v/>
      </c>
      <c r="U39" s="78">
        <f>T39-S39</f>
        <v/>
      </c>
      <c r="V39" s="78">
        <f>BUDGET!H39</f>
        <v/>
      </c>
      <c r="W39" s="78">
        <f>RÉALISÉ!H39</f>
        <v/>
      </c>
      <c r="X39" s="78">
        <f>W39-V39</f>
        <v/>
      </c>
      <c r="Y39" s="78">
        <f>BUDGET!I39</f>
        <v/>
      </c>
      <c r="Z39" s="78">
        <f>RÉALISÉ!I39</f>
        <v/>
      </c>
      <c r="AA39" s="78">
        <f>Z39-Y39</f>
        <v/>
      </c>
      <c r="AB39" s="78">
        <f>BUDGET!J39</f>
        <v/>
      </c>
      <c r="AC39" s="78">
        <f>RÉALISÉ!J39</f>
        <v/>
      </c>
      <c r="AD39" s="78">
        <f>AC39-AB39</f>
        <v/>
      </c>
      <c r="AE39" s="78">
        <f>BUDGET!K39</f>
        <v/>
      </c>
      <c r="AF39" s="78">
        <f>RÉALISÉ!K39</f>
        <v/>
      </c>
      <c r="AG39" s="78">
        <f>AF39-AE39</f>
        <v/>
      </c>
      <c r="AH39" s="78">
        <f>BUDGET!L39</f>
        <v/>
      </c>
      <c r="AI39" s="78">
        <f>RÉALISÉ!L39</f>
        <v/>
      </c>
      <c r="AJ39" s="78">
        <f>AI39-AH39</f>
        <v/>
      </c>
      <c r="AK39" s="78">
        <f>BUDGET!M39</f>
        <v/>
      </c>
      <c r="AL39" s="78">
        <f>RÉALISÉ!M39</f>
        <v/>
      </c>
      <c r="AM39" s="78">
        <f>AL39-AK39</f>
        <v/>
      </c>
      <c r="AN39" s="78">
        <f>BUDGET!N39</f>
        <v/>
      </c>
      <c r="AO39" s="78">
        <f>RÉALISÉ!N39</f>
        <v/>
      </c>
      <c r="AP39" s="78">
        <f>AO39-AN39</f>
        <v/>
      </c>
      <c r="AQ39" s="78">
        <f>BUDGET!O39</f>
        <v/>
      </c>
      <c r="AR39" s="78">
        <f>RÉALISÉ!O39</f>
        <v/>
      </c>
      <c r="AS39" s="78">
        <f>AR39-AQ39</f>
        <v/>
      </c>
    </row>
    <row r="40" ht="18" customHeight="1">
      <c r="C40" s="72" t="inlineStr">
        <is>
          <t xml:space="preserve">    Déplacements</t>
        </is>
      </c>
      <c r="D40" s="73">
        <f>BUDGET!D40+BUDGET!E40+BUDGET!F40+BUDGET!G40+BUDGET!H40+BUDGET!I40+BUDGET!J40+BUDGET!K40+BUDGET!L40+BUDGET!M40+BUDGET!N40+BUDGET!O40</f>
        <v/>
      </c>
      <c r="E40" s="73">
        <f>RÉALISÉ!D40+RÉALISÉ!E40+RÉALISÉ!F40+RÉALISÉ!G40+RÉALISÉ!H40+RÉALISÉ!I40+RÉALISÉ!J40+RÉALISÉ!K40+RÉALISÉ!L40+RÉALISÉ!M40+RÉALISÉ!N40+RÉALISÉ!O40</f>
        <v/>
      </c>
      <c r="F40" s="73" t="inlineStr"/>
      <c r="G40" s="74">
        <f>D40-E40</f>
        <v/>
      </c>
      <c r="H40" s="75">
        <f>IF(D40&lt;&gt;0,E40/D40,"")</f>
        <v/>
      </c>
      <c r="I40" s="76">
        <f>IF(D40=0,"—",IF(H40&gt;=1.1,"🔴 Dépassé",IF(H40&gt;=0.9,"🟠 Attention",IF(H40&gt;=0.5,"🟢 OK","🔵 En cours"))))</f>
        <v/>
      </c>
      <c r="J40" s="77">
        <f>BUDGET!D40</f>
        <v/>
      </c>
      <c r="K40" s="77">
        <f>RÉALISÉ!D40</f>
        <v/>
      </c>
      <c r="L40" s="77">
        <f>K40-J40</f>
        <v/>
      </c>
      <c r="M40" s="77">
        <f>BUDGET!E40</f>
        <v/>
      </c>
      <c r="N40" s="77">
        <f>RÉALISÉ!E40</f>
        <v/>
      </c>
      <c r="O40" s="77">
        <f>N40-M40</f>
        <v/>
      </c>
      <c r="P40" s="77">
        <f>BUDGET!F40</f>
        <v/>
      </c>
      <c r="Q40" s="77">
        <f>RÉALISÉ!F40</f>
        <v/>
      </c>
      <c r="R40" s="77">
        <f>Q40-P40</f>
        <v/>
      </c>
      <c r="S40" s="78">
        <f>BUDGET!G40</f>
        <v/>
      </c>
      <c r="T40" s="78">
        <f>RÉALISÉ!G40</f>
        <v/>
      </c>
      <c r="U40" s="78">
        <f>T40-S40</f>
        <v/>
      </c>
      <c r="V40" s="78">
        <f>BUDGET!H40</f>
        <v/>
      </c>
      <c r="W40" s="78">
        <f>RÉALISÉ!H40</f>
        <v/>
      </c>
      <c r="X40" s="78">
        <f>W40-V40</f>
        <v/>
      </c>
      <c r="Y40" s="78">
        <f>BUDGET!I40</f>
        <v/>
      </c>
      <c r="Z40" s="78">
        <f>RÉALISÉ!I40</f>
        <v/>
      </c>
      <c r="AA40" s="78">
        <f>Z40-Y40</f>
        <v/>
      </c>
      <c r="AB40" s="78">
        <f>BUDGET!J40</f>
        <v/>
      </c>
      <c r="AC40" s="78">
        <f>RÉALISÉ!J40</f>
        <v/>
      </c>
      <c r="AD40" s="78">
        <f>AC40-AB40</f>
        <v/>
      </c>
      <c r="AE40" s="78">
        <f>BUDGET!K40</f>
        <v/>
      </c>
      <c r="AF40" s="78">
        <f>RÉALISÉ!K40</f>
        <v/>
      </c>
      <c r="AG40" s="78">
        <f>AF40-AE40</f>
        <v/>
      </c>
      <c r="AH40" s="78">
        <f>BUDGET!L40</f>
        <v/>
      </c>
      <c r="AI40" s="78">
        <f>RÉALISÉ!L40</f>
        <v/>
      </c>
      <c r="AJ40" s="78">
        <f>AI40-AH40</f>
        <v/>
      </c>
      <c r="AK40" s="78">
        <f>BUDGET!M40</f>
        <v/>
      </c>
      <c r="AL40" s="78">
        <f>RÉALISÉ!M40</f>
        <v/>
      </c>
      <c r="AM40" s="78">
        <f>AL40-AK40</f>
        <v/>
      </c>
      <c r="AN40" s="78">
        <f>BUDGET!N40</f>
        <v/>
      </c>
      <c r="AO40" s="78">
        <f>RÉALISÉ!N40</f>
        <v/>
      </c>
      <c r="AP40" s="78">
        <f>AO40-AN40</f>
        <v/>
      </c>
      <c r="AQ40" s="78">
        <f>BUDGET!O40</f>
        <v/>
      </c>
      <c r="AR40" s="78">
        <f>RÉALISÉ!O40</f>
        <v/>
      </c>
      <c r="AS40" s="78">
        <f>AR40-AQ40</f>
        <v/>
      </c>
    </row>
    <row r="41" ht="18" customHeight="1">
      <c r="C41" s="83" t="inlineStr">
        <is>
          <t xml:space="preserve">    Finance &amp; Compta</t>
        </is>
      </c>
      <c r="D41" s="84">
        <f>BUDGET!D41+BUDGET!E41+BUDGET!F41+BUDGET!G41+BUDGET!H41+BUDGET!I41+BUDGET!J41+BUDGET!K41+BUDGET!L41+BUDGET!M41+BUDGET!N41+BUDGET!O41</f>
        <v/>
      </c>
      <c r="E41" s="84">
        <f>RÉALISÉ!D41+RÉALISÉ!E41+RÉALISÉ!F41+RÉALISÉ!G41+RÉALISÉ!H41+RÉALISÉ!I41+RÉALISÉ!J41+RÉALISÉ!K41+RÉALISÉ!L41+RÉALISÉ!M41+RÉALISÉ!N41+RÉALISÉ!O41</f>
        <v/>
      </c>
      <c r="F41" s="84" t="inlineStr"/>
      <c r="G41" s="74">
        <f>D41-E41</f>
        <v/>
      </c>
      <c r="H41" s="75">
        <f>IF(D41&lt;&gt;0,E41/D41,"")</f>
        <v/>
      </c>
      <c r="I41" s="76">
        <f>IF(D41=0,"—",IF(H41&gt;=1.1,"🔴 Dépassé",IF(H41&gt;=0.9,"🟠 Attention",IF(H41&gt;=0.5,"🟢 OK","🔵 En cours"))))</f>
        <v/>
      </c>
      <c r="J41" s="77">
        <f>BUDGET!D41</f>
        <v/>
      </c>
      <c r="K41" s="77">
        <f>RÉALISÉ!D41</f>
        <v/>
      </c>
      <c r="L41" s="77">
        <f>K41-J41</f>
        <v/>
      </c>
      <c r="M41" s="77">
        <f>BUDGET!E41</f>
        <v/>
      </c>
      <c r="N41" s="77">
        <f>RÉALISÉ!E41</f>
        <v/>
      </c>
      <c r="O41" s="77">
        <f>N41-M41</f>
        <v/>
      </c>
      <c r="P41" s="77">
        <f>BUDGET!F41</f>
        <v/>
      </c>
      <c r="Q41" s="77">
        <f>RÉALISÉ!F41</f>
        <v/>
      </c>
      <c r="R41" s="77">
        <f>Q41-P41</f>
        <v/>
      </c>
      <c r="S41" s="78">
        <f>BUDGET!G41</f>
        <v/>
      </c>
      <c r="T41" s="78">
        <f>RÉALISÉ!G41</f>
        <v/>
      </c>
      <c r="U41" s="78">
        <f>T41-S41</f>
        <v/>
      </c>
      <c r="V41" s="78">
        <f>BUDGET!H41</f>
        <v/>
      </c>
      <c r="W41" s="78">
        <f>RÉALISÉ!H41</f>
        <v/>
      </c>
      <c r="X41" s="78">
        <f>W41-V41</f>
        <v/>
      </c>
      <c r="Y41" s="78">
        <f>BUDGET!I41</f>
        <v/>
      </c>
      <c r="Z41" s="78">
        <f>RÉALISÉ!I41</f>
        <v/>
      </c>
      <c r="AA41" s="78">
        <f>Z41-Y41</f>
        <v/>
      </c>
      <c r="AB41" s="78">
        <f>BUDGET!J41</f>
        <v/>
      </c>
      <c r="AC41" s="78">
        <f>RÉALISÉ!J41</f>
        <v/>
      </c>
      <c r="AD41" s="78">
        <f>AC41-AB41</f>
        <v/>
      </c>
      <c r="AE41" s="78">
        <f>BUDGET!K41</f>
        <v/>
      </c>
      <c r="AF41" s="78">
        <f>RÉALISÉ!K41</f>
        <v/>
      </c>
      <c r="AG41" s="78">
        <f>AF41-AE41</f>
        <v/>
      </c>
      <c r="AH41" s="78">
        <f>BUDGET!L41</f>
        <v/>
      </c>
      <c r="AI41" s="78">
        <f>RÉALISÉ!L41</f>
        <v/>
      </c>
      <c r="AJ41" s="78">
        <f>AI41-AH41</f>
        <v/>
      </c>
      <c r="AK41" s="78">
        <f>BUDGET!M41</f>
        <v/>
      </c>
      <c r="AL41" s="78">
        <f>RÉALISÉ!M41</f>
        <v/>
      </c>
      <c r="AM41" s="78">
        <f>AL41-AK41</f>
        <v/>
      </c>
      <c r="AN41" s="78">
        <f>BUDGET!N41</f>
        <v/>
      </c>
      <c r="AO41" s="78">
        <f>RÉALISÉ!N41</f>
        <v/>
      </c>
      <c r="AP41" s="78">
        <f>AO41-AN41</f>
        <v/>
      </c>
      <c r="AQ41" s="78">
        <f>BUDGET!O41</f>
        <v/>
      </c>
      <c r="AR41" s="78">
        <f>RÉALISÉ!O41</f>
        <v/>
      </c>
      <c r="AS41" s="78">
        <f>AR41-AQ41</f>
        <v/>
      </c>
    </row>
    <row r="42" ht="18" customHeight="1">
      <c r="C42" s="72" t="inlineStr">
        <is>
          <t xml:space="preserve">    Frais bancaires</t>
        </is>
      </c>
      <c r="D42" s="73">
        <f>BUDGET!D42+BUDGET!E42+BUDGET!F42+BUDGET!G42+BUDGET!H42+BUDGET!I42+BUDGET!J42+BUDGET!K42+BUDGET!L42+BUDGET!M42+BUDGET!N42+BUDGET!O42</f>
        <v/>
      </c>
      <c r="E42" s="73">
        <f>RÉALISÉ!D42+RÉALISÉ!E42+RÉALISÉ!F42+RÉALISÉ!G42+RÉALISÉ!H42+RÉALISÉ!I42+RÉALISÉ!J42+RÉALISÉ!K42+RÉALISÉ!L42+RÉALISÉ!M42+RÉALISÉ!N42+RÉALISÉ!O42</f>
        <v/>
      </c>
      <c r="F42" s="73" t="inlineStr"/>
      <c r="G42" s="74">
        <f>D42-E42</f>
        <v/>
      </c>
      <c r="H42" s="75">
        <f>IF(D42&lt;&gt;0,E42/D42,"")</f>
        <v/>
      </c>
      <c r="I42" s="76">
        <f>IF(D42=0,"—",IF(H42&gt;=1.1,"🔴 Dépassé",IF(H42&gt;=0.9,"🟠 Attention",IF(H42&gt;=0.5,"🟢 OK","🔵 En cours"))))</f>
        <v/>
      </c>
      <c r="J42" s="77">
        <f>BUDGET!D42</f>
        <v/>
      </c>
      <c r="K42" s="77">
        <f>RÉALISÉ!D42</f>
        <v/>
      </c>
      <c r="L42" s="77">
        <f>K42-J42</f>
        <v/>
      </c>
      <c r="M42" s="77">
        <f>BUDGET!E42</f>
        <v/>
      </c>
      <c r="N42" s="77">
        <f>RÉALISÉ!E42</f>
        <v/>
      </c>
      <c r="O42" s="77">
        <f>N42-M42</f>
        <v/>
      </c>
      <c r="P42" s="77">
        <f>BUDGET!F42</f>
        <v/>
      </c>
      <c r="Q42" s="77">
        <f>RÉALISÉ!F42</f>
        <v/>
      </c>
      <c r="R42" s="77">
        <f>Q42-P42</f>
        <v/>
      </c>
      <c r="S42" s="78">
        <f>BUDGET!G42</f>
        <v/>
      </c>
      <c r="T42" s="78">
        <f>RÉALISÉ!G42</f>
        <v/>
      </c>
      <c r="U42" s="78">
        <f>T42-S42</f>
        <v/>
      </c>
      <c r="V42" s="78">
        <f>BUDGET!H42</f>
        <v/>
      </c>
      <c r="W42" s="78">
        <f>RÉALISÉ!H42</f>
        <v/>
      </c>
      <c r="X42" s="78">
        <f>W42-V42</f>
        <v/>
      </c>
      <c r="Y42" s="78">
        <f>BUDGET!I42</f>
        <v/>
      </c>
      <c r="Z42" s="78">
        <f>RÉALISÉ!I42</f>
        <v/>
      </c>
      <c r="AA42" s="78">
        <f>Z42-Y42</f>
        <v/>
      </c>
      <c r="AB42" s="78">
        <f>BUDGET!J42</f>
        <v/>
      </c>
      <c r="AC42" s="78">
        <f>RÉALISÉ!J42</f>
        <v/>
      </c>
      <c r="AD42" s="78">
        <f>AC42-AB42</f>
        <v/>
      </c>
      <c r="AE42" s="78">
        <f>BUDGET!K42</f>
        <v/>
      </c>
      <c r="AF42" s="78">
        <f>RÉALISÉ!K42</f>
        <v/>
      </c>
      <c r="AG42" s="78">
        <f>AF42-AE42</f>
        <v/>
      </c>
      <c r="AH42" s="78">
        <f>BUDGET!L42</f>
        <v/>
      </c>
      <c r="AI42" s="78">
        <f>RÉALISÉ!L42</f>
        <v/>
      </c>
      <c r="AJ42" s="78">
        <f>AI42-AH42</f>
        <v/>
      </c>
      <c r="AK42" s="78">
        <f>BUDGET!M42</f>
        <v/>
      </c>
      <c r="AL42" s="78">
        <f>RÉALISÉ!M42</f>
        <v/>
      </c>
      <c r="AM42" s="78">
        <f>AL42-AK42</f>
        <v/>
      </c>
      <c r="AN42" s="78">
        <f>BUDGET!N42</f>
        <v/>
      </c>
      <c r="AO42" s="78">
        <f>RÉALISÉ!N42</f>
        <v/>
      </c>
      <c r="AP42" s="78">
        <f>AO42-AN42</f>
        <v/>
      </c>
      <c r="AQ42" s="78">
        <f>BUDGET!O42</f>
        <v/>
      </c>
      <c r="AR42" s="78">
        <f>RÉALISÉ!O42</f>
        <v/>
      </c>
      <c r="AS42" s="78">
        <f>AR42-AQ42</f>
        <v/>
      </c>
    </row>
    <row r="43" ht="18" customHeight="1">
      <c r="C43" s="83" t="inlineStr">
        <is>
          <t xml:space="preserve">    Juridique</t>
        </is>
      </c>
      <c r="D43" s="84">
        <f>BUDGET!D43+BUDGET!E43+BUDGET!F43+BUDGET!G43+BUDGET!H43+BUDGET!I43+BUDGET!J43+BUDGET!K43+BUDGET!L43+BUDGET!M43+BUDGET!N43+BUDGET!O43</f>
        <v/>
      </c>
      <c r="E43" s="84">
        <f>RÉALISÉ!D43+RÉALISÉ!E43+RÉALISÉ!F43+RÉALISÉ!G43+RÉALISÉ!H43+RÉALISÉ!I43+RÉALISÉ!J43+RÉALISÉ!K43+RÉALISÉ!L43+RÉALISÉ!M43+RÉALISÉ!N43+RÉALISÉ!O43</f>
        <v/>
      </c>
      <c r="F43" s="84" t="inlineStr"/>
      <c r="G43" s="74">
        <f>D43-E43</f>
        <v/>
      </c>
      <c r="H43" s="75">
        <f>IF(D43&lt;&gt;0,E43/D43,"")</f>
        <v/>
      </c>
      <c r="I43" s="76">
        <f>IF(D43=0,"—",IF(H43&gt;=1.1,"🔴 Dépassé",IF(H43&gt;=0.9,"🟠 Attention",IF(H43&gt;=0.5,"🟢 OK","🔵 En cours"))))</f>
        <v/>
      </c>
      <c r="J43" s="77">
        <f>BUDGET!D43</f>
        <v/>
      </c>
      <c r="K43" s="77">
        <f>RÉALISÉ!D43</f>
        <v/>
      </c>
      <c r="L43" s="77">
        <f>K43-J43</f>
        <v/>
      </c>
      <c r="M43" s="77">
        <f>BUDGET!E43</f>
        <v/>
      </c>
      <c r="N43" s="77">
        <f>RÉALISÉ!E43</f>
        <v/>
      </c>
      <c r="O43" s="77">
        <f>N43-M43</f>
        <v/>
      </c>
      <c r="P43" s="77">
        <f>BUDGET!F43</f>
        <v/>
      </c>
      <c r="Q43" s="77">
        <f>RÉALISÉ!F43</f>
        <v/>
      </c>
      <c r="R43" s="77">
        <f>Q43-P43</f>
        <v/>
      </c>
      <c r="S43" s="78">
        <f>BUDGET!G43</f>
        <v/>
      </c>
      <c r="T43" s="78">
        <f>RÉALISÉ!G43</f>
        <v/>
      </c>
      <c r="U43" s="78">
        <f>T43-S43</f>
        <v/>
      </c>
      <c r="V43" s="78">
        <f>BUDGET!H43</f>
        <v/>
      </c>
      <c r="W43" s="78">
        <f>RÉALISÉ!H43</f>
        <v/>
      </c>
      <c r="X43" s="78">
        <f>W43-V43</f>
        <v/>
      </c>
      <c r="Y43" s="78">
        <f>BUDGET!I43</f>
        <v/>
      </c>
      <c r="Z43" s="78">
        <f>RÉALISÉ!I43</f>
        <v/>
      </c>
      <c r="AA43" s="78">
        <f>Z43-Y43</f>
        <v/>
      </c>
      <c r="AB43" s="78">
        <f>BUDGET!J43</f>
        <v/>
      </c>
      <c r="AC43" s="78">
        <f>RÉALISÉ!J43</f>
        <v/>
      </c>
      <c r="AD43" s="78">
        <f>AC43-AB43</f>
        <v/>
      </c>
      <c r="AE43" s="78">
        <f>BUDGET!K43</f>
        <v/>
      </c>
      <c r="AF43" s="78">
        <f>RÉALISÉ!K43</f>
        <v/>
      </c>
      <c r="AG43" s="78">
        <f>AF43-AE43</f>
        <v/>
      </c>
      <c r="AH43" s="78">
        <f>BUDGET!L43</f>
        <v/>
      </c>
      <c r="AI43" s="78">
        <f>RÉALISÉ!L43</f>
        <v/>
      </c>
      <c r="AJ43" s="78">
        <f>AI43-AH43</f>
        <v/>
      </c>
      <c r="AK43" s="78">
        <f>BUDGET!M43</f>
        <v/>
      </c>
      <c r="AL43" s="78">
        <f>RÉALISÉ!M43</f>
        <v/>
      </c>
      <c r="AM43" s="78">
        <f>AL43-AK43</f>
        <v/>
      </c>
      <c r="AN43" s="78">
        <f>BUDGET!N43</f>
        <v/>
      </c>
      <c r="AO43" s="78">
        <f>RÉALISÉ!N43</f>
        <v/>
      </c>
      <c r="AP43" s="78">
        <f>AO43-AN43</f>
        <v/>
      </c>
      <c r="AQ43" s="78">
        <f>BUDGET!O43</f>
        <v/>
      </c>
      <c r="AR43" s="78">
        <f>RÉALISÉ!O43</f>
        <v/>
      </c>
      <c r="AS43" s="78">
        <f>AR43-AQ43</f>
        <v/>
      </c>
    </row>
    <row r="44" ht="18" customHeight="1">
      <c r="C44" s="72" t="inlineStr">
        <is>
          <t xml:space="preserve">    Logiciels &amp; Services Web</t>
        </is>
      </c>
      <c r="D44" s="73">
        <f>BUDGET!D44+BUDGET!E44+BUDGET!F44+BUDGET!G44+BUDGET!H44+BUDGET!I44+BUDGET!J44+BUDGET!K44+BUDGET!L44+BUDGET!M44+BUDGET!N44+BUDGET!O44</f>
        <v/>
      </c>
      <c r="E44" s="73">
        <f>RÉALISÉ!D44+RÉALISÉ!E44+RÉALISÉ!F44+RÉALISÉ!G44+RÉALISÉ!H44+RÉALISÉ!I44+RÉALISÉ!J44+RÉALISÉ!K44+RÉALISÉ!L44+RÉALISÉ!M44+RÉALISÉ!N44+RÉALISÉ!O44</f>
        <v/>
      </c>
      <c r="F44" s="73" t="inlineStr"/>
      <c r="G44" s="74">
        <f>D44-E44</f>
        <v/>
      </c>
      <c r="H44" s="75">
        <f>IF(D44&lt;&gt;0,E44/D44,"")</f>
        <v/>
      </c>
      <c r="I44" s="76">
        <f>IF(D44=0,"—",IF(H44&gt;=1.1,"🔴 Dépassé",IF(H44&gt;=0.9,"🟠 Attention",IF(H44&gt;=0.5,"🟢 OK","🔵 En cours"))))</f>
        <v/>
      </c>
      <c r="J44" s="77">
        <f>BUDGET!D44</f>
        <v/>
      </c>
      <c r="K44" s="77">
        <f>RÉALISÉ!D44</f>
        <v/>
      </c>
      <c r="L44" s="77">
        <f>K44-J44</f>
        <v/>
      </c>
      <c r="M44" s="77">
        <f>BUDGET!E44</f>
        <v/>
      </c>
      <c r="N44" s="77">
        <f>RÉALISÉ!E44</f>
        <v/>
      </c>
      <c r="O44" s="77">
        <f>N44-M44</f>
        <v/>
      </c>
      <c r="P44" s="77">
        <f>BUDGET!F44</f>
        <v/>
      </c>
      <c r="Q44" s="77">
        <f>RÉALISÉ!F44</f>
        <v/>
      </c>
      <c r="R44" s="77">
        <f>Q44-P44</f>
        <v/>
      </c>
      <c r="S44" s="78">
        <f>BUDGET!G44</f>
        <v/>
      </c>
      <c r="T44" s="78">
        <f>RÉALISÉ!G44</f>
        <v/>
      </c>
      <c r="U44" s="78">
        <f>T44-S44</f>
        <v/>
      </c>
      <c r="V44" s="78">
        <f>BUDGET!H44</f>
        <v/>
      </c>
      <c r="W44" s="78">
        <f>RÉALISÉ!H44</f>
        <v/>
      </c>
      <c r="X44" s="78">
        <f>W44-V44</f>
        <v/>
      </c>
      <c r="Y44" s="78">
        <f>BUDGET!I44</f>
        <v/>
      </c>
      <c r="Z44" s="78">
        <f>RÉALISÉ!I44</f>
        <v/>
      </c>
      <c r="AA44" s="78">
        <f>Z44-Y44</f>
        <v/>
      </c>
      <c r="AB44" s="78">
        <f>BUDGET!J44</f>
        <v/>
      </c>
      <c r="AC44" s="78">
        <f>RÉALISÉ!J44</f>
        <v/>
      </c>
      <c r="AD44" s="78">
        <f>AC44-AB44</f>
        <v/>
      </c>
      <c r="AE44" s="78">
        <f>BUDGET!K44</f>
        <v/>
      </c>
      <c r="AF44" s="78">
        <f>RÉALISÉ!K44</f>
        <v/>
      </c>
      <c r="AG44" s="78">
        <f>AF44-AE44</f>
        <v/>
      </c>
      <c r="AH44" s="78">
        <f>BUDGET!L44</f>
        <v/>
      </c>
      <c r="AI44" s="78">
        <f>RÉALISÉ!L44</f>
        <v/>
      </c>
      <c r="AJ44" s="78">
        <f>AI44-AH44</f>
        <v/>
      </c>
      <c r="AK44" s="78">
        <f>BUDGET!M44</f>
        <v/>
      </c>
      <c r="AL44" s="78">
        <f>RÉALISÉ!M44</f>
        <v/>
      </c>
      <c r="AM44" s="78">
        <f>AL44-AK44</f>
        <v/>
      </c>
      <c r="AN44" s="78">
        <f>BUDGET!N44</f>
        <v/>
      </c>
      <c r="AO44" s="78">
        <f>RÉALISÉ!N44</f>
        <v/>
      </c>
      <c r="AP44" s="78">
        <f>AO44-AN44</f>
        <v/>
      </c>
      <c r="AQ44" s="78">
        <f>BUDGET!O44</f>
        <v/>
      </c>
      <c r="AR44" s="78">
        <f>RÉALISÉ!O44</f>
        <v/>
      </c>
      <c r="AS44" s="78">
        <f>AR44-AQ44</f>
        <v/>
      </c>
    </row>
    <row r="45" ht="18" customHeight="1">
      <c r="C45" s="83" t="inlineStr">
        <is>
          <t xml:space="preserve">    Logistique</t>
        </is>
      </c>
      <c r="D45" s="84">
        <f>BUDGET!D45+BUDGET!E45+BUDGET!F45+BUDGET!G45+BUDGET!H45+BUDGET!I45+BUDGET!J45+BUDGET!K45+BUDGET!L45+BUDGET!M45+BUDGET!N45+BUDGET!O45</f>
        <v/>
      </c>
      <c r="E45" s="84">
        <f>RÉALISÉ!D45+RÉALISÉ!E45+RÉALISÉ!F45+RÉALISÉ!G45+RÉALISÉ!H45+RÉALISÉ!I45+RÉALISÉ!J45+RÉALISÉ!K45+RÉALISÉ!L45+RÉALISÉ!M45+RÉALISÉ!N45+RÉALISÉ!O45</f>
        <v/>
      </c>
      <c r="F45" s="84" t="inlineStr"/>
      <c r="G45" s="74">
        <f>D45-E45</f>
        <v/>
      </c>
      <c r="H45" s="75">
        <f>IF(D45&lt;&gt;0,E45/D45,"")</f>
        <v/>
      </c>
      <c r="I45" s="76">
        <f>IF(D45=0,"—",IF(H45&gt;=1.1,"🔴 Dépassé",IF(H45&gt;=0.9,"🟠 Attention",IF(H45&gt;=0.5,"🟢 OK","🔵 En cours"))))</f>
        <v/>
      </c>
      <c r="J45" s="77">
        <f>BUDGET!D45</f>
        <v/>
      </c>
      <c r="K45" s="77">
        <f>RÉALISÉ!D45</f>
        <v/>
      </c>
      <c r="L45" s="77">
        <f>K45-J45</f>
        <v/>
      </c>
      <c r="M45" s="77">
        <f>BUDGET!E45</f>
        <v/>
      </c>
      <c r="N45" s="77">
        <f>RÉALISÉ!E45</f>
        <v/>
      </c>
      <c r="O45" s="77">
        <f>N45-M45</f>
        <v/>
      </c>
      <c r="P45" s="77">
        <f>BUDGET!F45</f>
        <v/>
      </c>
      <c r="Q45" s="77">
        <f>RÉALISÉ!F45</f>
        <v/>
      </c>
      <c r="R45" s="77">
        <f>Q45-P45</f>
        <v/>
      </c>
      <c r="S45" s="78">
        <f>BUDGET!G45</f>
        <v/>
      </c>
      <c r="T45" s="78">
        <f>RÉALISÉ!G45</f>
        <v/>
      </c>
      <c r="U45" s="78">
        <f>T45-S45</f>
        <v/>
      </c>
      <c r="V45" s="78">
        <f>BUDGET!H45</f>
        <v/>
      </c>
      <c r="W45" s="78">
        <f>RÉALISÉ!H45</f>
        <v/>
      </c>
      <c r="X45" s="78">
        <f>W45-V45</f>
        <v/>
      </c>
      <c r="Y45" s="78">
        <f>BUDGET!I45</f>
        <v/>
      </c>
      <c r="Z45" s="78">
        <f>RÉALISÉ!I45</f>
        <v/>
      </c>
      <c r="AA45" s="78">
        <f>Z45-Y45</f>
        <v/>
      </c>
      <c r="AB45" s="78">
        <f>BUDGET!J45</f>
        <v/>
      </c>
      <c r="AC45" s="78">
        <f>RÉALISÉ!J45</f>
        <v/>
      </c>
      <c r="AD45" s="78">
        <f>AC45-AB45</f>
        <v/>
      </c>
      <c r="AE45" s="78">
        <f>BUDGET!K45</f>
        <v/>
      </c>
      <c r="AF45" s="78">
        <f>RÉALISÉ!K45</f>
        <v/>
      </c>
      <c r="AG45" s="78">
        <f>AF45-AE45</f>
        <v/>
      </c>
      <c r="AH45" s="78">
        <f>BUDGET!L45</f>
        <v/>
      </c>
      <c r="AI45" s="78">
        <f>RÉALISÉ!L45</f>
        <v/>
      </c>
      <c r="AJ45" s="78">
        <f>AI45-AH45</f>
        <v/>
      </c>
      <c r="AK45" s="78">
        <f>BUDGET!M45</f>
        <v/>
      </c>
      <c r="AL45" s="78">
        <f>RÉALISÉ!M45</f>
        <v/>
      </c>
      <c r="AM45" s="78">
        <f>AL45-AK45</f>
        <v/>
      </c>
      <c r="AN45" s="78">
        <f>BUDGET!N45</f>
        <v/>
      </c>
      <c r="AO45" s="78">
        <f>RÉALISÉ!N45</f>
        <v/>
      </c>
      <c r="AP45" s="78">
        <f>AO45-AN45</f>
        <v/>
      </c>
      <c r="AQ45" s="78">
        <f>BUDGET!O45</f>
        <v/>
      </c>
      <c r="AR45" s="78">
        <f>RÉALISÉ!O45</f>
        <v/>
      </c>
      <c r="AS45" s="78">
        <f>AR45-AQ45</f>
        <v/>
      </c>
    </row>
    <row r="46" ht="18" customHeight="1">
      <c r="C46" s="72" t="inlineStr">
        <is>
          <t xml:space="preserve">    Loyers</t>
        </is>
      </c>
      <c r="D46" s="73">
        <f>BUDGET!D46+BUDGET!E46+BUDGET!F46+BUDGET!G46+BUDGET!H46+BUDGET!I46+BUDGET!J46+BUDGET!K46+BUDGET!L46+BUDGET!M46+BUDGET!N46+BUDGET!O46</f>
        <v/>
      </c>
      <c r="E46" s="73">
        <f>RÉALISÉ!D46+RÉALISÉ!E46+RÉALISÉ!F46+RÉALISÉ!G46+RÉALISÉ!H46+RÉALISÉ!I46+RÉALISÉ!J46+RÉALISÉ!K46+RÉALISÉ!L46+RÉALISÉ!M46+RÉALISÉ!N46+RÉALISÉ!O46</f>
        <v/>
      </c>
      <c r="F46" s="73" t="inlineStr"/>
      <c r="G46" s="74">
        <f>D46-E46</f>
        <v/>
      </c>
      <c r="H46" s="75">
        <f>IF(D46&lt;&gt;0,E46/D46,"")</f>
        <v/>
      </c>
      <c r="I46" s="76">
        <f>IF(D46=0,"—",IF(H46&gt;=1.1,"🔴 Dépassé",IF(H46&gt;=0.9,"🟠 Attention",IF(H46&gt;=0.5,"🟢 OK","🔵 En cours"))))</f>
        <v/>
      </c>
      <c r="J46" s="77">
        <f>BUDGET!D46</f>
        <v/>
      </c>
      <c r="K46" s="77">
        <f>RÉALISÉ!D46</f>
        <v/>
      </c>
      <c r="L46" s="77">
        <f>K46-J46</f>
        <v/>
      </c>
      <c r="M46" s="77">
        <f>BUDGET!E46</f>
        <v/>
      </c>
      <c r="N46" s="77">
        <f>RÉALISÉ!E46</f>
        <v/>
      </c>
      <c r="O46" s="77">
        <f>N46-M46</f>
        <v/>
      </c>
      <c r="P46" s="77">
        <f>BUDGET!F46</f>
        <v/>
      </c>
      <c r="Q46" s="77">
        <f>RÉALISÉ!F46</f>
        <v/>
      </c>
      <c r="R46" s="77">
        <f>Q46-P46</f>
        <v/>
      </c>
      <c r="S46" s="78">
        <f>BUDGET!G46</f>
        <v/>
      </c>
      <c r="T46" s="78">
        <f>RÉALISÉ!G46</f>
        <v/>
      </c>
      <c r="U46" s="78">
        <f>T46-S46</f>
        <v/>
      </c>
      <c r="V46" s="78">
        <f>BUDGET!H46</f>
        <v/>
      </c>
      <c r="W46" s="78">
        <f>RÉALISÉ!H46</f>
        <v/>
      </c>
      <c r="X46" s="78">
        <f>W46-V46</f>
        <v/>
      </c>
      <c r="Y46" s="78">
        <f>BUDGET!I46</f>
        <v/>
      </c>
      <c r="Z46" s="78">
        <f>RÉALISÉ!I46</f>
        <v/>
      </c>
      <c r="AA46" s="78">
        <f>Z46-Y46</f>
        <v/>
      </c>
      <c r="AB46" s="78">
        <f>BUDGET!J46</f>
        <v/>
      </c>
      <c r="AC46" s="78">
        <f>RÉALISÉ!J46</f>
        <v/>
      </c>
      <c r="AD46" s="78">
        <f>AC46-AB46</f>
        <v/>
      </c>
      <c r="AE46" s="78">
        <f>BUDGET!K46</f>
        <v/>
      </c>
      <c r="AF46" s="78">
        <f>RÉALISÉ!K46</f>
        <v/>
      </c>
      <c r="AG46" s="78">
        <f>AF46-AE46</f>
        <v/>
      </c>
      <c r="AH46" s="78">
        <f>BUDGET!L46</f>
        <v/>
      </c>
      <c r="AI46" s="78">
        <f>RÉALISÉ!L46</f>
        <v/>
      </c>
      <c r="AJ46" s="78">
        <f>AI46-AH46</f>
        <v/>
      </c>
      <c r="AK46" s="78">
        <f>BUDGET!M46</f>
        <v/>
      </c>
      <c r="AL46" s="78">
        <f>RÉALISÉ!M46</f>
        <v/>
      </c>
      <c r="AM46" s="78">
        <f>AL46-AK46</f>
        <v/>
      </c>
      <c r="AN46" s="78">
        <f>BUDGET!N46</f>
        <v/>
      </c>
      <c r="AO46" s="78">
        <f>RÉALISÉ!N46</f>
        <v/>
      </c>
      <c r="AP46" s="78">
        <f>AO46-AN46</f>
        <v/>
      </c>
      <c r="AQ46" s="78">
        <f>BUDGET!O46</f>
        <v/>
      </c>
      <c r="AR46" s="78">
        <f>RÉALISÉ!O46</f>
        <v/>
      </c>
      <c r="AS46" s="78">
        <f>AR46-AQ46</f>
        <v/>
      </c>
    </row>
    <row r="47" ht="18" customHeight="1">
      <c r="C47" s="83" t="inlineStr">
        <is>
          <t xml:space="preserve">    Ordinateurs &amp; Équipements</t>
        </is>
      </c>
      <c r="D47" s="84">
        <f>BUDGET!D47+BUDGET!E47+BUDGET!F47+BUDGET!G47+BUDGET!H47+BUDGET!I47+BUDGET!J47+BUDGET!K47+BUDGET!L47+BUDGET!M47+BUDGET!N47+BUDGET!O47</f>
        <v/>
      </c>
      <c r="E47" s="84">
        <f>RÉALISÉ!D47+RÉALISÉ!E47+RÉALISÉ!F47+RÉALISÉ!G47+RÉALISÉ!H47+RÉALISÉ!I47+RÉALISÉ!J47+RÉALISÉ!K47+RÉALISÉ!L47+RÉALISÉ!M47+RÉALISÉ!N47+RÉALISÉ!O47</f>
        <v/>
      </c>
      <c r="F47" s="84" t="inlineStr"/>
      <c r="G47" s="74">
        <f>D47-E47</f>
        <v/>
      </c>
      <c r="H47" s="75">
        <f>IF(D47&lt;&gt;0,E47/D47,"")</f>
        <v/>
      </c>
      <c r="I47" s="76">
        <f>IF(D47=0,"—",IF(H47&gt;=1.1,"🔴 Dépassé",IF(H47&gt;=0.9,"🟠 Attention",IF(H47&gt;=0.5,"🟢 OK","🔵 En cours"))))</f>
        <v/>
      </c>
      <c r="J47" s="77">
        <f>BUDGET!D47</f>
        <v/>
      </c>
      <c r="K47" s="77">
        <f>RÉALISÉ!D47</f>
        <v/>
      </c>
      <c r="L47" s="77">
        <f>K47-J47</f>
        <v/>
      </c>
      <c r="M47" s="77">
        <f>BUDGET!E47</f>
        <v/>
      </c>
      <c r="N47" s="77">
        <f>RÉALISÉ!E47</f>
        <v/>
      </c>
      <c r="O47" s="77">
        <f>N47-M47</f>
        <v/>
      </c>
      <c r="P47" s="77">
        <f>BUDGET!F47</f>
        <v/>
      </c>
      <c r="Q47" s="77">
        <f>RÉALISÉ!F47</f>
        <v/>
      </c>
      <c r="R47" s="77">
        <f>Q47-P47</f>
        <v/>
      </c>
      <c r="S47" s="78">
        <f>BUDGET!G47</f>
        <v/>
      </c>
      <c r="T47" s="78">
        <f>RÉALISÉ!G47</f>
        <v/>
      </c>
      <c r="U47" s="78">
        <f>T47-S47</f>
        <v/>
      </c>
      <c r="V47" s="78">
        <f>BUDGET!H47</f>
        <v/>
      </c>
      <c r="W47" s="78">
        <f>RÉALISÉ!H47</f>
        <v/>
      </c>
      <c r="X47" s="78">
        <f>W47-V47</f>
        <v/>
      </c>
      <c r="Y47" s="78">
        <f>BUDGET!I47</f>
        <v/>
      </c>
      <c r="Z47" s="78">
        <f>RÉALISÉ!I47</f>
        <v/>
      </c>
      <c r="AA47" s="78">
        <f>Z47-Y47</f>
        <v/>
      </c>
      <c r="AB47" s="78">
        <f>BUDGET!J47</f>
        <v/>
      </c>
      <c r="AC47" s="78">
        <f>RÉALISÉ!J47</f>
        <v/>
      </c>
      <c r="AD47" s="78">
        <f>AC47-AB47</f>
        <v/>
      </c>
      <c r="AE47" s="78">
        <f>BUDGET!K47</f>
        <v/>
      </c>
      <c r="AF47" s="78">
        <f>RÉALISÉ!K47</f>
        <v/>
      </c>
      <c r="AG47" s="78">
        <f>AF47-AE47</f>
        <v/>
      </c>
      <c r="AH47" s="78">
        <f>BUDGET!L47</f>
        <v/>
      </c>
      <c r="AI47" s="78">
        <f>RÉALISÉ!L47</f>
        <v/>
      </c>
      <c r="AJ47" s="78">
        <f>AI47-AH47</f>
        <v/>
      </c>
      <c r="AK47" s="78">
        <f>BUDGET!M47</f>
        <v/>
      </c>
      <c r="AL47" s="78">
        <f>RÉALISÉ!M47</f>
        <v/>
      </c>
      <c r="AM47" s="78">
        <f>AL47-AK47</f>
        <v/>
      </c>
      <c r="AN47" s="78">
        <f>BUDGET!N47</f>
        <v/>
      </c>
      <c r="AO47" s="78">
        <f>RÉALISÉ!N47</f>
        <v/>
      </c>
      <c r="AP47" s="78">
        <f>AO47-AN47</f>
        <v/>
      </c>
      <c r="AQ47" s="78">
        <f>BUDGET!O47</f>
        <v/>
      </c>
      <c r="AR47" s="78">
        <f>RÉALISÉ!O47</f>
        <v/>
      </c>
      <c r="AS47" s="78">
        <f>AR47-AQ47</f>
        <v/>
      </c>
    </row>
    <row r="48" ht="18" customHeight="1">
      <c r="C48" s="81" t="inlineStr">
        <is>
          <t xml:space="preserve">        Remboursement élus matériel 2025</t>
        </is>
      </c>
      <c r="D48" s="82">
        <f>BUDGET!D48+BUDGET!E48+BUDGET!F48+BUDGET!G48+BUDGET!H48+BUDGET!I48+BUDGET!J48+BUDGET!K48+BUDGET!L48+BUDGET!M48+BUDGET!N48+BUDGET!O48</f>
        <v/>
      </c>
      <c r="E48" s="82">
        <f>RÉALISÉ!D48+RÉALISÉ!E48+RÉALISÉ!F48+RÉALISÉ!G48+RÉALISÉ!H48+RÉALISÉ!I48+RÉALISÉ!J48+RÉALISÉ!K48+RÉALISÉ!L48+RÉALISÉ!M48+RÉALISÉ!N48+RÉALISÉ!O48</f>
        <v/>
      </c>
      <c r="F48" s="82" t="inlineStr"/>
      <c r="G48" s="74">
        <f>D48-E48</f>
        <v/>
      </c>
      <c r="H48" s="75">
        <f>IF(D48&lt;&gt;0,E48/D48,"")</f>
        <v/>
      </c>
      <c r="I48" s="76">
        <f>IF(D48=0,"—",IF(H48&gt;=1.1,"🔴 Dépassé",IF(H48&gt;=0.9,"🟠 Attention",IF(H48&gt;=0.5,"🟢 OK","🔵 En cours"))))</f>
        <v/>
      </c>
      <c r="J48" s="77">
        <f>BUDGET!D48</f>
        <v/>
      </c>
      <c r="K48" s="77">
        <f>RÉALISÉ!D48</f>
        <v/>
      </c>
      <c r="L48" s="77">
        <f>K48-J48</f>
        <v/>
      </c>
      <c r="M48" s="77">
        <f>BUDGET!E48</f>
        <v/>
      </c>
      <c r="N48" s="77">
        <f>RÉALISÉ!E48</f>
        <v/>
      </c>
      <c r="O48" s="77">
        <f>N48-M48</f>
        <v/>
      </c>
      <c r="P48" s="77">
        <f>BUDGET!F48</f>
        <v/>
      </c>
      <c r="Q48" s="77">
        <f>RÉALISÉ!F48</f>
        <v/>
      </c>
      <c r="R48" s="77">
        <f>Q48-P48</f>
        <v/>
      </c>
      <c r="S48" s="78">
        <f>BUDGET!G48</f>
        <v/>
      </c>
      <c r="T48" s="78">
        <f>RÉALISÉ!G48</f>
        <v/>
      </c>
      <c r="U48" s="78">
        <f>T48-S48</f>
        <v/>
      </c>
      <c r="V48" s="78">
        <f>BUDGET!H48</f>
        <v/>
      </c>
      <c r="W48" s="78">
        <f>RÉALISÉ!H48</f>
        <v/>
      </c>
      <c r="X48" s="78">
        <f>W48-V48</f>
        <v/>
      </c>
      <c r="Y48" s="78">
        <f>BUDGET!I48</f>
        <v/>
      </c>
      <c r="Z48" s="78">
        <f>RÉALISÉ!I48</f>
        <v/>
      </c>
      <c r="AA48" s="78">
        <f>Z48-Y48</f>
        <v/>
      </c>
      <c r="AB48" s="78">
        <f>BUDGET!J48</f>
        <v/>
      </c>
      <c r="AC48" s="78">
        <f>RÉALISÉ!J48</f>
        <v/>
      </c>
      <c r="AD48" s="78">
        <f>AC48-AB48</f>
        <v/>
      </c>
      <c r="AE48" s="78">
        <f>BUDGET!K48</f>
        <v/>
      </c>
      <c r="AF48" s="78">
        <f>RÉALISÉ!K48</f>
        <v/>
      </c>
      <c r="AG48" s="78">
        <f>AF48-AE48</f>
        <v/>
      </c>
      <c r="AH48" s="78">
        <f>BUDGET!L48</f>
        <v/>
      </c>
      <c r="AI48" s="78">
        <f>RÉALISÉ!L48</f>
        <v/>
      </c>
      <c r="AJ48" s="78">
        <f>AI48-AH48</f>
        <v/>
      </c>
      <c r="AK48" s="78">
        <f>BUDGET!M48</f>
        <v/>
      </c>
      <c r="AL48" s="78">
        <f>RÉALISÉ!M48</f>
        <v/>
      </c>
      <c r="AM48" s="78">
        <f>AL48-AK48</f>
        <v/>
      </c>
      <c r="AN48" s="78">
        <f>BUDGET!N48</f>
        <v/>
      </c>
      <c r="AO48" s="78">
        <f>RÉALISÉ!N48</f>
        <v/>
      </c>
      <c r="AP48" s="78">
        <f>AO48-AN48</f>
        <v/>
      </c>
      <c r="AQ48" s="78">
        <f>BUDGET!O48</f>
        <v/>
      </c>
      <c r="AR48" s="78">
        <f>RÉALISÉ!O48</f>
        <v/>
      </c>
      <c r="AS48" s="78">
        <f>AR48-AQ48</f>
        <v/>
      </c>
    </row>
    <row r="49" ht="18" customHeight="1">
      <c r="C49" s="83" t="inlineStr">
        <is>
          <t xml:space="preserve">    Restauration</t>
        </is>
      </c>
      <c r="D49" s="84">
        <f>BUDGET!D49+BUDGET!E49+BUDGET!F49+BUDGET!G49+BUDGET!H49+BUDGET!I49+BUDGET!J49+BUDGET!K49+BUDGET!L49+BUDGET!M49+BUDGET!N49+BUDGET!O49</f>
        <v/>
      </c>
      <c r="E49" s="84">
        <f>RÉALISÉ!D49+RÉALISÉ!E49+RÉALISÉ!F49+RÉALISÉ!G49+RÉALISÉ!H49+RÉALISÉ!I49+RÉALISÉ!J49+RÉALISÉ!K49+RÉALISÉ!L49+RÉALISÉ!M49+RÉALISÉ!N49+RÉALISÉ!O49</f>
        <v/>
      </c>
      <c r="F49" s="84" t="inlineStr"/>
      <c r="G49" s="74">
        <f>D49-E49</f>
        <v/>
      </c>
      <c r="H49" s="75">
        <f>IF(D49&lt;&gt;0,E49/D49,"")</f>
        <v/>
      </c>
      <c r="I49" s="76">
        <f>IF(D49=0,"—",IF(H49&gt;=1.1,"🔴 Dépassé",IF(H49&gt;=0.9,"🟠 Attention",IF(H49&gt;=0.5,"🟢 OK","🔵 En cours"))))</f>
        <v/>
      </c>
      <c r="J49" s="77">
        <f>BUDGET!D49</f>
        <v/>
      </c>
      <c r="K49" s="77">
        <f>RÉALISÉ!D49</f>
        <v/>
      </c>
      <c r="L49" s="77">
        <f>K49-J49</f>
        <v/>
      </c>
      <c r="M49" s="77">
        <f>BUDGET!E49</f>
        <v/>
      </c>
      <c r="N49" s="77">
        <f>RÉALISÉ!E49</f>
        <v/>
      </c>
      <c r="O49" s="77">
        <f>N49-M49</f>
        <v/>
      </c>
      <c r="P49" s="77">
        <f>BUDGET!F49</f>
        <v/>
      </c>
      <c r="Q49" s="77">
        <f>RÉALISÉ!F49</f>
        <v/>
      </c>
      <c r="R49" s="77">
        <f>Q49-P49</f>
        <v/>
      </c>
      <c r="S49" s="78">
        <f>BUDGET!G49</f>
        <v/>
      </c>
      <c r="T49" s="78">
        <f>RÉALISÉ!G49</f>
        <v/>
      </c>
      <c r="U49" s="78">
        <f>T49-S49</f>
        <v/>
      </c>
      <c r="V49" s="78">
        <f>BUDGET!H49</f>
        <v/>
      </c>
      <c r="W49" s="78">
        <f>RÉALISÉ!H49</f>
        <v/>
      </c>
      <c r="X49" s="78">
        <f>W49-V49</f>
        <v/>
      </c>
      <c r="Y49" s="78">
        <f>BUDGET!I49</f>
        <v/>
      </c>
      <c r="Z49" s="78">
        <f>RÉALISÉ!I49</f>
        <v/>
      </c>
      <c r="AA49" s="78">
        <f>Z49-Y49</f>
        <v/>
      </c>
      <c r="AB49" s="78">
        <f>BUDGET!J49</f>
        <v/>
      </c>
      <c r="AC49" s="78">
        <f>RÉALISÉ!J49</f>
        <v/>
      </c>
      <c r="AD49" s="78">
        <f>AC49-AB49</f>
        <v/>
      </c>
      <c r="AE49" s="78">
        <f>BUDGET!K49</f>
        <v/>
      </c>
      <c r="AF49" s="78">
        <f>RÉALISÉ!K49</f>
        <v/>
      </c>
      <c r="AG49" s="78">
        <f>AF49-AE49</f>
        <v/>
      </c>
      <c r="AH49" s="78">
        <f>BUDGET!L49</f>
        <v/>
      </c>
      <c r="AI49" s="78">
        <f>RÉALISÉ!L49</f>
        <v/>
      </c>
      <c r="AJ49" s="78">
        <f>AI49-AH49</f>
        <v/>
      </c>
      <c r="AK49" s="78">
        <f>BUDGET!M49</f>
        <v/>
      </c>
      <c r="AL49" s="78">
        <f>RÉALISÉ!M49</f>
        <v/>
      </c>
      <c r="AM49" s="78">
        <f>AL49-AK49</f>
        <v/>
      </c>
      <c r="AN49" s="78">
        <f>BUDGET!N49</f>
        <v/>
      </c>
      <c r="AO49" s="78">
        <f>RÉALISÉ!N49</f>
        <v/>
      </c>
      <c r="AP49" s="78">
        <f>AO49-AN49</f>
        <v/>
      </c>
      <c r="AQ49" s="78">
        <f>BUDGET!O49</f>
        <v/>
      </c>
      <c r="AR49" s="78">
        <f>RÉALISÉ!O49</f>
        <v/>
      </c>
      <c r="AS49" s="78">
        <f>AR49-AQ49</f>
        <v/>
      </c>
    </row>
    <row r="50" ht="18" customHeight="1">
      <c r="C50" s="72" t="inlineStr">
        <is>
          <t xml:space="preserve">    Revenu</t>
        </is>
      </c>
      <c r="D50" s="73">
        <f>BUDGET!D50+BUDGET!E50+BUDGET!F50+BUDGET!G50+BUDGET!H50+BUDGET!I50+BUDGET!J50+BUDGET!K50+BUDGET!L50+BUDGET!M50+BUDGET!N50+BUDGET!O50</f>
        <v/>
      </c>
      <c r="E50" s="73">
        <f>RÉALISÉ!D50+RÉALISÉ!E50+RÉALISÉ!F50+RÉALISÉ!G50+RÉALISÉ!H50+RÉALISÉ!I50+RÉALISÉ!J50+RÉALISÉ!K50+RÉALISÉ!L50+RÉALISÉ!M50+RÉALISÉ!N50+RÉALISÉ!O50</f>
        <v/>
      </c>
      <c r="F50" s="73" t="inlineStr"/>
      <c r="G50" s="74">
        <f>D50-E50</f>
        <v/>
      </c>
      <c r="H50" s="75">
        <f>IF(D50&lt;&gt;0,E50/D50,"")</f>
        <v/>
      </c>
      <c r="I50" s="76">
        <f>IF(D50=0,"—",IF(H50&gt;=1.1,"🔴 Dépassé",IF(H50&gt;=0.9,"🟠 Attention",IF(H50&gt;=0.5,"🟢 OK","🔵 En cours"))))</f>
        <v/>
      </c>
      <c r="J50" s="77">
        <f>BUDGET!D50</f>
        <v/>
      </c>
      <c r="K50" s="77">
        <f>RÉALISÉ!D50</f>
        <v/>
      </c>
      <c r="L50" s="77">
        <f>K50-J50</f>
        <v/>
      </c>
      <c r="M50" s="77">
        <f>BUDGET!E50</f>
        <v/>
      </c>
      <c r="N50" s="77">
        <f>RÉALISÉ!E50</f>
        <v/>
      </c>
      <c r="O50" s="77">
        <f>N50-M50</f>
        <v/>
      </c>
      <c r="P50" s="77">
        <f>BUDGET!F50</f>
        <v/>
      </c>
      <c r="Q50" s="77">
        <f>RÉALISÉ!F50</f>
        <v/>
      </c>
      <c r="R50" s="77">
        <f>Q50-P50</f>
        <v/>
      </c>
      <c r="S50" s="78">
        <f>BUDGET!G50</f>
        <v/>
      </c>
      <c r="T50" s="78">
        <f>RÉALISÉ!G50</f>
        <v/>
      </c>
      <c r="U50" s="78">
        <f>T50-S50</f>
        <v/>
      </c>
      <c r="V50" s="78">
        <f>BUDGET!H50</f>
        <v/>
      </c>
      <c r="W50" s="78">
        <f>RÉALISÉ!H50</f>
        <v/>
      </c>
      <c r="X50" s="78">
        <f>W50-V50</f>
        <v/>
      </c>
      <c r="Y50" s="78">
        <f>BUDGET!I50</f>
        <v/>
      </c>
      <c r="Z50" s="78">
        <f>RÉALISÉ!I50</f>
        <v/>
      </c>
      <c r="AA50" s="78">
        <f>Z50-Y50</f>
        <v/>
      </c>
      <c r="AB50" s="78">
        <f>BUDGET!J50</f>
        <v/>
      </c>
      <c r="AC50" s="78">
        <f>RÉALISÉ!J50</f>
        <v/>
      </c>
      <c r="AD50" s="78">
        <f>AC50-AB50</f>
        <v/>
      </c>
      <c r="AE50" s="78">
        <f>BUDGET!K50</f>
        <v/>
      </c>
      <c r="AF50" s="78">
        <f>RÉALISÉ!K50</f>
        <v/>
      </c>
      <c r="AG50" s="78">
        <f>AF50-AE50</f>
        <v/>
      </c>
      <c r="AH50" s="78">
        <f>BUDGET!L50</f>
        <v/>
      </c>
      <c r="AI50" s="78">
        <f>RÉALISÉ!L50</f>
        <v/>
      </c>
      <c r="AJ50" s="78">
        <f>AI50-AH50</f>
        <v/>
      </c>
      <c r="AK50" s="78">
        <f>BUDGET!M50</f>
        <v/>
      </c>
      <c r="AL50" s="78">
        <f>RÉALISÉ!M50</f>
        <v/>
      </c>
      <c r="AM50" s="78">
        <f>AL50-AK50</f>
        <v/>
      </c>
      <c r="AN50" s="78">
        <f>BUDGET!N50</f>
        <v/>
      </c>
      <c r="AO50" s="78">
        <f>RÉALISÉ!N50</f>
        <v/>
      </c>
      <c r="AP50" s="78">
        <f>AO50-AN50</f>
        <v/>
      </c>
      <c r="AQ50" s="78">
        <f>BUDGET!O50</f>
        <v/>
      </c>
      <c r="AR50" s="78">
        <f>RÉALISÉ!O50</f>
        <v/>
      </c>
      <c r="AS50" s="78">
        <f>AR50-AQ50</f>
        <v/>
      </c>
    </row>
    <row r="51" ht="18" customHeight="1">
      <c r="C51" s="83" t="inlineStr">
        <is>
          <t xml:space="preserve">    Salaires</t>
        </is>
      </c>
      <c r="D51" s="84">
        <f>BUDGET!D51+BUDGET!E51+BUDGET!F51+BUDGET!G51+BUDGET!H51+BUDGET!I51+BUDGET!J51+BUDGET!K51+BUDGET!L51+BUDGET!M51+BUDGET!N51+BUDGET!O51</f>
        <v/>
      </c>
      <c r="E51" s="84">
        <f>RÉALISÉ!D51+RÉALISÉ!E51+RÉALISÉ!F51+RÉALISÉ!G51+RÉALISÉ!H51+RÉALISÉ!I51+RÉALISÉ!J51+RÉALISÉ!K51+RÉALISÉ!L51+RÉALISÉ!M51+RÉALISÉ!N51+RÉALISÉ!O51</f>
        <v/>
      </c>
      <c r="F51" s="84" t="inlineStr"/>
      <c r="G51" s="74">
        <f>D51-E51</f>
        <v/>
      </c>
      <c r="H51" s="75">
        <f>IF(D51&lt;&gt;0,E51/D51,"")</f>
        <v/>
      </c>
      <c r="I51" s="76">
        <f>IF(D51=0,"—",IF(H51&gt;=1.1,"🔴 Dépassé",IF(H51&gt;=0.9,"🟠 Attention",IF(H51&gt;=0.5,"🟢 OK","🔵 En cours"))))</f>
        <v/>
      </c>
      <c r="J51" s="77">
        <f>BUDGET!D51</f>
        <v/>
      </c>
      <c r="K51" s="77">
        <f>RÉALISÉ!D51</f>
        <v/>
      </c>
      <c r="L51" s="77">
        <f>K51-J51</f>
        <v/>
      </c>
      <c r="M51" s="77">
        <f>BUDGET!E51</f>
        <v/>
      </c>
      <c r="N51" s="77">
        <f>RÉALISÉ!E51</f>
        <v/>
      </c>
      <c r="O51" s="77">
        <f>N51-M51</f>
        <v/>
      </c>
      <c r="P51" s="77">
        <f>BUDGET!F51</f>
        <v/>
      </c>
      <c r="Q51" s="77">
        <f>RÉALISÉ!F51</f>
        <v/>
      </c>
      <c r="R51" s="77">
        <f>Q51-P51</f>
        <v/>
      </c>
      <c r="S51" s="78">
        <f>BUDGET!G51</f>
        <v/>
      </c>
      <c r="T51" s="78">
        <f>RÉALISÉ!G51</f>
        <v/>
      </c>
      <c r="U51" s="78">
        <f>T51-S51</f>
        <v/>
      </c>
      <c r="V51" s="78">
        <f>BUDGET!H51</f>
        <v/>
      </c>
      <c r="W51" s="78">
        <f>RÉALISÉ!H51</f>
        <v/>
      </c>
      <c r="X51" s="78">
        <f>W51-V51</f>
        <v/>
      </c>
      <c r="Y51" s="78">
        <f>BUDGET!I51</f>
        <v/>
      </c>
      <c r="Z51" s="78">
        <f>RÉALISÉ!I51</f>
        <v/>
      </c>
      <c r="AA51" s="78">
        <f>Z51-Y51</f>
        <v/>
      </c>
      <c r="AB51" s="78">
        <f>BUDGET!J51</f>
        <v/>
      </c>
      <c r="AC51" s="78">
        <f>RÉALISÉ!J51</f>
        <v/>
      </c>
      <c r="AD51" s="78">
        <f>AC51-AB51</f>
        <v/>
      </c>
      <c r="AE51" s="78">
        <f>BUDGET!K51</f>
        <v/>
      </c>
      <c r="AF51" s="78">
        <f>RÉALISÉ!K51</f>
        <v/>
      </c>
      <c r="AG51" s="78">
        <f>AF51-AE51</f>
        <v/>
      </c>
      <c r="AH51" s="78">
        <f>BUDGET!L51</f>
        <v/>
      </c>
      <c r="AI51" s="78">
        <f>RÉALISÉ!L51</f>
        <v/>
      </c>
      <c r="AJ51" s="78">
        <f>AI51-AH51</f>
        <v/>
      </c>
      <c r="AK51" s="78">
        <f>BUDGET!M51</f>
        <v/>
      </c>
      <c r="AL51" s="78">
        <f>RÉALISÉ!M51</f>
        <v/>
      </c>
      <c r="AM51" s="78">
        <f>AL51-AK51</f>
        <v/>
      </c>
      <c r="AN51" s="78">
        <f>BUDGET!N51</f>
        <v/>
      </c>
      <c r="AO51" s="78">
        <f>RÉALISÉ!N51</f>
        <v/>
      </c>
      <c r="AP51" s="78">
        <f>AO51-AN51</f>
        <v/>
      </c>
      <c r="AQ51" s="78">
        <f>BUDGET!O51</f>
        <v/>
      </c>
      <c r="AR51" s="78">
        <f>RÉALISÉ!O51</f>
        <v/>
      </c>
      <c r="AS51" s="78">
        <f>AR51-AQ51</f>
        <v/>
      </c>
    </row>
    <row r="52" ht="18" customHeight="1">
      <c r="C52" s="72" t="inlineStr">
        <is>
          <t xml:space="preserve">    Sous-traitance &amp; Prestations</t>
        </is>
      </c>
      <c r="D52" s="73">
        <f>BUDGET!D52+BUDGET!E52+BUDGET!F52+BUDGET!G52+BUDGET!H52+BUDGET!I52+BUDGET!J52+BUDGET!K52+BUDGET!L52+BUDGET!M52+BUDGET!N52+BUDGET!O52</f>
        <v/>
      </c>
      <c r="E52" s="73">
        <f>RÉALISÉ!D52+RÉALISÉ!E52+RÉALISÉ!F52+RÉALISÉ!G52+RÉALISÉ!H52+RÉALISÉ!I52+RÉALISÉ!J52+RÉALISÉ!K52+RÉALISÉ!L52+RÉALISÉ!M52+RÉALISÉ!N52+RÉALISÉ!O52</f>
        <v/>
      </c>
      <c r="F52" s="73" t="inlineStr"/>
      <c r="G52" s="74">
        <f>D52-E52</f>
        <v/>
      </c>
      <c r="H52" s="75">
        <f>IF(D52&lt;&gt;0,E52/D52,"")</f>
        <v/>
      </c>
      <c r="I52" s="76">
        <f>IF(D52=0,"—",IF(H52&gt;=1.1,"🔴 Dépassé",IF(H52&gt;=0.9,"🟠 Attention",IF(H52&gt;=0.5,"🟢 OK","🔵 En cours"))))</f>
        <v/>
      </c>
      <c r="J52" s="77">
        <f>BUDGET!D52</f>
        <v/>
      </c>
      <c r="K52" s="77">
        <f>RÉALISÉ!D52</f>
        <v/>
      </c>
      <c r="L52" s="77">
        <f>K52-J52</f>
        <v/>
      </c>
      <c r="M52" s="77">
        <f>BUDGET!E52</f>
        <v/>
      </c>
      <c r="N52" s="77">
        <f>RÉALISÉ!E52</f>
        <v/>
      </c>
      <c r="O52" s="77">
        <f>N52-M52</f>
        <v/>
      </c>
      <c r="P52" s="77">
        <f>BUDGET!F52</f>
        <v/>
      </c>
      <c r="Q52" s="77">
        <f>RÉALISÉ!F52</f>
        <v/>
      </c>
      <c r="R52" s="77">
        <f>Q52-P52</f>
        <v/>
      </c>
      <c r="S52" s="78">
        <f>BUDGET!G52</f>
        <v/>
      </c>
      <c r="T52" s="78">
        <f>RÉALISÉ!G52</f>
        <v/>
      </c>
      <c r="U52" s="78">
        <f>T52-S52</f>
        <v/>
      </c>
      <c r="V52" s="78">
        <f>BUDGET!H52</f>
        <v/>
      </c>
      <c r="W52" s="78">
        <f>RÉALISÉ!H52</f>
        <v/>
      </c>
      <c r="X52" s="78">
        <f>W52-V52</f>
        <v/>
      </c>
      <c r="Y52" s="78">
        <f>BUDGET!I52</f>
        <v/>
      </c>
      <c r="Z52" s="78">
        <f>RÉALISÉ!I52</f>
        <v/>
      </c>
      <c r="AA52" s="78">
        <f>Z52-Y52</f>
        <v/>
      </c>
      <c r="AB52" s="78">
        <f>BUDGET!J52</f>
        <v/>
      </c>
      <c r="AC52" s="78">
        <f>RÉALISÉ!J52</f>
        <v/>
      </c>
      <c r="AD52" s="78">
        <f>AC52-AB52</f>
        <v/>
      </c>
      <c r="AE52" s="78">
        <f>BUDGET!K52</f>
        <v/>
      </c>
      <c r="AF52" s="78">
        <f>RÉALISÉ!K52</f>
        <v/>
      </c>
      <c r="AG52" s="78">
        <f>AF52-AE52</f>
        <v/>
      </c>
      <c r="AH52" s="78">
        <f>BUDGET!L52</f>
        <v/>
      </c>
      <c r="AI52" s="78">
        <f>RÉALISÉ!L52</f>
        <v/>
      </c>
      <c r="AJ52" s="78">
        <f>AI52-AH52</f>
        <v/>
      </c>
      <c r="AK52" s="78">
        <f>BUDGET!M52</f>
        <v/>
      </c>
      <c r="AL52" s="78">
        <f>RÉALISÉ!M52</f>
        <v/>
      </c>
      <c r="AM52" s="78">
        <f>AL52-AK52</f>
        <v/>
      </c>
      <c r="AN52" s="78">
        <f>BUDGET!N52</f>
        <v/>
      </c>
      <c r="AO52" s="78">
        <f>RÉALISÉ!N52</f>
        <v/>
      </c>
      <c r="AP52" s="78">
        <f>AO52-AN52</f>
        <v/>
      </c>
      <c r="AQ52" s="78">
        <f>BUDGET!O52</f>
        <v/>
      </c>
      <c r="AR52" s="78">
        <f>RÉALISÉ!O52</f>
        <v/>
      </c>
      <c r="AS52" s="78">
        <f>AR52-AQ52</f>
        <v/>
      </c>
    </row>
    <row r="53" ht="18" customHeight="1">
      <c r="C53" s="83" t="inlineStr">
        <is>
          <t xml:space="preserve">    Subventions employeur</t>
        </is>
      </c>
      <c r="D53" s="84">
        <f>BUDGET!D53+BUDGET!E53+BUDGET!F53+BUDGET!G53+BUDGET!H53+BUDGET!I53+BUDGET!J53+BUDGET!K53+BUDGET!L53+BUDGET!M53+BUDGET!N53+BUDGET!O53</f>
        <v/>
      </c>
      <c r="E53" s="84">
        <f>RÉALISÉ!D53+RÉALISÉ!E53+RÉALISÉ!F53+RÉALISÉ!G53+RÉALISÉ!H53+RÉALISÉ!I53+RÉALISÉ!J53+RÉALISÉ!K53+RÉALISÉ!L53+RÉALISÉ!M53+RÉALISÉ!N53+RÉALISÉ!O53</f>
        <v/>
      </c>
      <c r="F53" s="84" t="inlineStr"/>
      <c r="G53" s="74">
        <f>D53-E53</f>
        <v/>
      </c>
      <c r="H53" s="75">
        <f>IF(D53&lt;&gt;0,E53/D53,"")</f>
        <v/>
      </c>
      <c r="I53" s="76">
        <f>IF(D53=0,"—",IF(H53&gt;=1.1,"🔴 Dépassé",IF(H53&gt;=0.9,"🟠 Attention",IF(H53&gt;=0.5,"🟢 OK","🔵 En cours"))))</f>
        <v/>
      </c>
      <c r="J53" s="77">
        <f>BUDGET!D53</f>
        <v/>
      </c>
      <c r="K53" s="77">
        <f>RÉALISÉ!D53</f>
        <v/>
      </c>
      <c r="L53" s="77">
        <f>K53-J53</f>
        <v/>
      </c>
      <c r="M53" s="77">
        <f>BUDGET!E53</f>
        <v/>
      </c>
      <c r="N53" s="77">
        <f>RÉALISÉ!E53</f>
        <v/>
      </c>
      <c r="O53" s="77">
        <f>N53-M53</f>
        <v/>
      </c>
      <c r="P53" s="77">
        <f>BUDGET!F53</f>
        <v/>
      </c>
      <c r="Q53" s="77">
        <f>RÉALISÉ!F53</f>
        <v/>
      </c>
      <c r="R53" s="77">
        <f>Q53-P53</f>
        <v/>
      </c>
      <c r="S53" s="78">
        <f>BUDGET!G53</f>
        <v/>
      </c>
      <c r="T53" s="78">
        <f>RÉALISÉ!G53</f>
        <v/>
      </c>
      <c r="U53" s="78">
        <f>T53-S53</f>
        <v/>
      </c>
      <c r="V53" s="78">
        <f>BUDGET!H53</f>
        <v/>
      </c>
      <c r="W53" s="78">
        <f>RÉALISÉ!H53</f>
        <v/>
      </c>
      <c r="X53" s="78">
        <f>W53-V53</f>
        <v/>
      </c>
      <c r="Y53" s="78">
        <f>BUDGET!I53</f>
        <v/>
      </c>
      <c r="Z53" s="78">
        <f>RÉALISÉ!I53</f>
        <v/>
      </c>
      <c r="AA53" s="78">
        <f>Z53-Y53</f>
        <v/>
      </c>
      <c r="AB53" s="78">
        <f>BUDGET!J53</f>
        <v/>
      </c>
      <c r="AC53" s="78">
        <f>RÉALISÉ!J53</f>
        <v/>
      </c>
      <c r="AD53" s="78">
        <f>AC53-AB53</f>
        <v/>
      </c>
      <c r="AE53" s="78">
        <f>BUDGET!K53</f>
        <v/>
      </c>
      <c r="AF53" s="78">
        <f>RÉALISÉ!K53</f>
        <v/>
      </c>
      <c r="AG53" s="78">
        <f>AF53-AE53</f>
        <v/>
      </c>
      <c r="AH53" s="78">
        <f>BUDGET!L53</f>
        <v/>
      </c>
      <c r="AI53" s="78">
        <f>RÉALISÉ!L53</f>
        <v/>
      </c>
      <c r="AJ53" s="78">
        <f>AI53-AH53</f>
        <v/>
      </c>
      <c r="AK53" s="78">
        <f>BUDGET!M53</f>
        <v/>
      </c>
      <c r="AL53" s="78">
        <f>RÉALISÉ!M53</f>
        <v/>
      </c>
      <c r="AM53" s="78">
        <f>AL53-AK53</f>
        <v/>
      </c>
      <c r="AN53" s="78">
        <f>BUDGET!N53</f>
        <v/>
      </c>
      <c r="AO53" s="78">
        <f>RÉALISÉ!N53</f>
        <v/>
      </c>
      <c r="AP53" s="78">
        <f>AO53-AN53</f>
        <v/>
      </c>
      <c r="AQ53" s="78">
        <f>BUDGET!O53</f>
        <v/>
      </c>
      <c r="AR53" s="78">
        <f>RÉALISÉ!O53</f>
        <v/>
      </c>
      <c r="AS53" s="78">
        <f>AR53-AQ53</f>
        <v/>
      </c>
    </row>
    <row r="54" ht="18" customHeight="1">
      <c r="C54" s="72" t="inlineStr">
        <is>
          <t xml:space="preserve">    Téléphone &amp; Internet</t>
        </is>
      </c>
      <c r="D54" s="73">
        <f>BUDGET!D54+BUDGET!E54+BUDGET!F54+BUDGET!G54+BUDGET!H54+BUDGET!I54+BUDGET!J54+BUDGET!K54+BUDGET!L54+BUDGET!M54+BUDGET!N54+BUDGET!O54</f>
        <v/>
      </c>
      <c r="E54" s="73">
        <f>RÉALISÉ!D54+RÉALISÉ!E54+RÉALISÉ!F54+RÉALISÉ!G54+RÉALISÉ!H54+RÉALISÉ!I54+RÉALISÉ!J54+RÉALISÉ!K54+RÉALISÉ!L54+RÉALISÉ!M54+RÉALISÉ!N54+RÉALISÉ!O54</f>
        <v/>
      </c>
      <c r="F54" s="73" t="inlineStr"/>
      <c r="G54" s="74">
        <f>D54-E54</f>
        <v/>
      </c>
      <c r="H54" s="75">
        <f>IF(D54&lt;&gt;0,E54/D54,"")</f>
        <v/>
      </c>
      <c r="I54" s="76">
        <f>IF(D54=0,"—",IF(H54&gt;=1.1,"🔴 Dépassé",IF(H54&gt;=0.9,"🟠 Attention",IF(H54&gt;=0.5,"🟢 OK","🔵 En cours"))))</f>
        <v/>
      </c>
      <c r="J54" s="77">
        <f>BUDGET!D54</f>
        <v/>
      </c>
      <c r="K54" s="77">
        <f>RÉALISÉ!D54</f>
        <v/>
      </c>
      <c r="L54" s="77">
        <f>K54-J54</f>
        <v/>
      </c>
      <c r="M54" s="77">
        <f>BUDGET!E54</f>
        <v/>
      </c>
      <c r="N54" s="77">
        <f>RÉALISÉ!E54</f>
        <v/>
      </c>
      <c r="O54" s="77">
        <f>N54-M54</f>
        <v/>
      </c>
      <c r="P54" s="77">
        <f>BUDGET!F54</f>
        <v/>
      </c>
      <c r="Q54" s="77">
        <f>RÉALISÉ!F54</f>
        <v/>
      </c>
      <c r="R54" s="77">
        <f>Q54-P54</f>
        <v/>
      </c>
      <c r="S54" s="78">
        <f>BUDGET!G54</f>
        <v/>
      </c>
      <c r="T54" s="78">
        <f>RÉALISÉ!G54</f>
        <v/>
      </c>
      <c r="U54" s="78">
        <f>T54-S54</f>
        <v/>
      </c>
      <c r="V54" s="78">
        <f>BUDGET!H54</f>
        <v/>
      </c>
      <c r="W54" s="78">
        <f>RÉALISÉ!H54</f>
        <v/>
      </c>
      <c r="X54" s="78">
        <f>W54-V54</f>
        <v/>
      </c>
      <c r="Y54" s="78">
        <f>BUDGET!I54</f>
        <v/>
      </c>
      <c r="Z54" s="78">
        <f>RÉALISÉ!I54</f>
        <v/>
      </c>
      <c r="AA54" s="78">
        <f>Z54-Y54</f>
        <v/>
      </c>
      <c r="AB54" s="78">
        <f>BUDGET!J54</f>
        <v/>
      </c>
      <c r="AC54" s="78">
        <f>RÉALISÉ!J54</f>
        <v/>
      </c>
      <c r="AD54" s="78">
        <f>AC54-AB54</f>
        <v/>
      </c>
      <c r="AE54" s="78">
        <f>BUDGET!K54</f>
        <v/>
      </c>
      <c r="AF54" s="78">
        <f>RÉALISÉ!K54</f>
        <v/>
      </c>
      <c r="AG54" s="78">
        <f>AF54-AE54</f>
        <v/>
      </c>
      <c r="AH54" s="78">
        <f>BUDGET!L54</f>
        <v/>
      </c>
      <c r="AI54" s="78">
        <f>RÉALISÉ!L54</f>
        <v/>
      </c>
      <c r="AJ54" s="78">
        <f>AI54-AH54</f>
        <v/>
      </c>
      <c r="AK54" s="78">
        <f>BUDGET!M54</f>
        <v/>
      </c>
      <c r="AL54" s="78">
        <f>RÉALISÉ!M54</f>
        <v/>
      </c>
      <c r="AM54" s="78">
        <f>AL54-AK54</f>
        <v/>
      </c>
      <c r="AN54" s="78">
        <f>BUDGET!N54</f>
        <v/>
      </c>
      <c r="AO54" s="78">
        <f>RÉALISÉ!N54</f>
        <v/>
      </c>
      <c r="AP54" s="78">
        <f>AO54-AN54</f>
        <v/>
      </c>
      <c r="AQ54" s="78">
        <f>BUDGET!O54</f>
        <v/>
      </c>
      <c r="AR54" s="78">
        <f>RÉALISÉ!O54</f>
        <v/>
      </c>
      <c r="AS54" s="78">
        <f>AR54-AQ54</f>
        <v/>
      </c>
    </row>
    <row r="55" ht="18" customHeight="1">
      <c r="C55" s="83" t="inlineStr">
        <is>
          <t xml:space="preserve">    Virements internes</t>
        </is>
      </c>
      <c r="D55" s="84">
        <f>BUDGET!D55+BUDGET!E55+BUDGET!F55+BUDGET!G55+BUDGET!H55+BUDGET!I55+BUDGET!J55+BUDGET!K55+BUDGET!L55+BUDGET!M55+BUDGET!N55+BUDGET!O55</f>
        <v/>
      </c>
      <c r="E55" s="84">
        <f>RÉALISÉ!D55+RÉALISÉ!E55+RÉALISÉ!F55+RÉALISÉ!G55+RÉALISÉ!H55+RÉALISÉ!I55+RÉALISÉ!J55+RÉALISÉ!K55+RÉALISÉ!L55+RÉALISÉ!M55+RÉALISÉ!N55+RÉALISÉ!O55</f>
        <v/>
      </c>
      <c r="F55" s="84" t="inlineStr"/>
      <c r="G55" s="74">
        <f>D55-E55</f>
        <v/>
      </c>
      <c r="H55" s="75">
        <f>IF(D55&lt;&gt;0,E55/D55,"")</f>
        <v/>
      </c>
      <c r="I55" s="76">
        <f>IF(D55=0,"—",IF(H55&gt;=1.1,"🔴 Dépassé",IF(H55&gt;=0.9,"🟠 Attention",IF(H55&gt;=0.5,"🟢 OK","🔵 En cours"))))</f>
        <v/>
      </c>
      <c r="J55" s="77">
        <f>BUDGET!D55</f>
        <v/>
      </c>
      <c r="K55" s="77">
        <f>RÉALISÉ!D55</f>
        <v/>
      </c>
      <c r="L55" s="77">
        <f>K55-J55</f>
        <v/>
      </c>
      <c r="M55" s="77">
        <f>BUDGET!E55</f>
        <v/>
      </c>
      <c r="N55" s="77">
        <f>RÉALISÉ!E55</f>
        <v/>
      </c>
      <c r="O55" s="77">
        <f>N55-M55</f>
        <v/>
      </c>
      <c r="P55" s="77">
        <f>BUDGET!F55</f>
        <v/>
      </c>
      <c r="Q55" s="77">
        <f>RÉALISÉ!F55</f>
        <v/>
      </c>
      <c r="R55" s="77">
        <f>Q55-P55</f>
        <v/>
      </c>
      <c r="S55" s="78">
        <f>BUDGET!G55</f>
        <v/>
      </c>
      <c r="T55" s="78">
        <f>RÉALISÉ!G55</f>
        <v/>
      </c>
      <c r="U55" s="78">
        <f>T55-S55</f>
        <v/>
      </c>
      <c r="V55" s="78">
        <f>BUDGET!H55</f>
        <v/>
      </c>
      <c r="W55" s="78">
        <f>RÉALISÉ!H55</f>
        <v/>
      </c>
      <c r="X55" s="78">
        <f>W55-V55</f>
        <v/>
      </c>
      <c r="Y55" s="78">
        <f>BUDGET!I55</f>
        <v/>
      </c>
      <c r="Z55" s="78">
        <f>RÉALISÉ!I55</f>
        <v/>
      </c>
      <c r="AA55" s="78">
        <f>Z55-Y55</f>
        <v/>
      </c>
      <c r="AB55" s="78">
        <f>BUDGET!J55</f>
        <v/>
      </c>
      <c r="AC55" s="78">
        <f>RÉALISÉ!J55</f>
        <v/>
      </c>
      <c r="AD55" s="78">
        <f>AC55-AB55</f>
        <v/>
      </c>
      <c r="AE55" s="78">
        <f>BUDGET!K55</f>
        <v/>
      </c>
      <c r="AF55" s="78">
        <f>RÉALISÉ!K55</f>
        <v/>
      </c>
      <c r="AG55" s="78">
        <f>AF55-AE55</f>
        <v/>
      </c>
      <c r="AH55" s="78">
        <f>BUDGET!L55</f>
        <v/>
      </c>
      <c r="AI55" s="78">
        <f>RÉALISÉ!L55</f>
        <v/>
      </c>
      <c r="AJ55" s="78">
        <f>AI55-AH55</f>
        <v/>
      </c>
      <c r="AK55" s="78">
        <f>BUDGET!M55</f>
        <v/>
      </c>
      <c r="AL55" s="78">
        <f>RÉALISÉ!M55</f>
        <v/>
      </c>
      <c r="AM55" s="78">
        <f>AL55-AK55</f>
        <v/>
      </c>
      <c r="AN55" s="78">
        <f>BUDGET!N55</f>
        <v/>
      </c>
      <c r="AO55" s="78">
        <f>RÉALISÉ!N55</f>
        <v/>
      </c>
      <c r="AP55" s="78">
        <f>AO55-AN55</f>
        <v/>
      </c>
      <c r="AQ55" s="78">
        <f>BUDGET!O55</f>
        <v/>
      </c>
      <c r="AR55" s="78">
        <f>RÉALISÉ!O55</f>
        <v/>
      </c>
      <c r="AS55" s="78">
        <f>AR55-AQ55</f>
        <v/>
      </c>
    </row>
    <row r="56" ht="18" customHeight="1">
      <c r="C56" s="72" t="inlineStr">
        <is>
          <t xml:space="preserve">    Frais postaux</t>
        </is>
      </c>
      <c r="D56" s="73">
        <f>BUDGET!D56+BUDGET!E56+BUDGET!F56+BUDGET!G56+BUDGET!H56+BUDGET!I56+BUDGET!J56+BUDGET!K56+BUDGET!L56+BUDGET!M56+BUDGET!N56+BUDGET!O56</f>
        <v/>
      </c>
      <c r="E56" s="73">
        <f>RÉALISÉ!D56+RÉALISÉ!E56+RÉALISÉ!F56+RÉALISÉ!G56+RÉALISÉ!H56+RÉALISÉ!I56+RÉALISÉ!J56+RÉALISÉ!K56+RÉALISÉ!L56+RÉALISÉ!M56+RÉALISÉ!N56+RÉALISÉ!O56</f>
        <v/>
      </c>
      <c r="F56" s="73" t="inlineStr"/>
      <c r="G56" s="74">
        <f>D56-E56</f>
        <v/>
      </c>
      <c r="H56" s="75">
        <f>IF(D56&lt;&gt;0,E56/D56,"")</f>
        <v/>
      </c>
      <c r="I56" s="76">
        <f>IF(D56=0,"—",IF(H56&gt;=1.1,"🔴 Dépassé",IF(H56&gt;=0.9,"🟠 Attention",IF(H56&gt;=0.5,"🟢 OK","🔵 En cours"))))</f>
        <v/>
      </c>
      <c r="J56" s="77">
        <f>BUDGET!D56</f>
        <v/>
      </c>
      <c r="K56" s="77">
        <f>RÉALISÉ!D56</f>
        <v/>
      </c>
      <c r="L56" s="77">
        <f>K56-J56</f>
        <v/>
      </c>
      <c r="M56" s="77">
        <f>BUDGET!E56</f>
        <v/>
      </c>
      <c r="N56" s="77">
        <f>RÉALISÉ!E56</f>
        <v/>
      </c>
      <c r="O56" s="77">
        <f>N56-M56</f>
        <v/>
      </c>
      <c r="P56" s="77">
        <f>BUDGET!F56</f>
        <v/>
      </c>
      <c r="Q56" s="77">
        <f>RÉALISÉ!F56</f>
        <v/>
      </c>
      <c r="R56" s="77">
        <f>Q56-P56</f>
        <v/>
      </c>
      <c r="S56" s="78">
        <f>BUDGET!G56</f>
        <v/>
      </c>
      <c r="T56" s="78">
        <f>RÉALISÉ!G56</f>
        <v/>
      </c>
      <c r="U56" s="78">
        <f>T56-S56</f>
        <v/>
      </c>
      <c r="V56" s="78">
        <f>BUDGET!H56</f>
        <v/>
      </c>
      <c r="W56" s="78">
        <f>RÉALISÉ!H56</f>
        <v/>
      </c>
      <c r="X56" s="78">
        <f>W56-V56</f>
        <v/>
      </c>
      <c r="Y56" s="78">
        <f>BUDGET!I56</f>
        <v/>
      </c>
      <c r="Z56" s="78">
        <f>RÉALISÉ!I56</f>
        <v/>
      </c>
      <c r="AA56" s="78">
        <f>Z56-Y56</f>
        <v/>
      </c>
      <c r="AB56" s="78">
        <f>BUDGET!J56</f>
        <v/>
      </c>
      <c r="AC56" s="78">
        <f>RÉALISÉ!J56</f>
        <v/>
      </c>
      <c r="AD56" s="78">
        <f>AC56-AB56</f>
        <v/>
      </c>
      <c r="AE56" s="78">
        <f>BUDGET!K56</f>
        <v/>
      </c>
      <c r="AF56" s="78">
        <f>RÉALISÉ!K56</f>
        <v/>
      </c>
      <c r="AG56" s="78">
        <f>AF56-AE56</f>
        <v/>
      </c>
      <c r="AH56" s="78">
        <f>BUDGET!L56</f>
        <v/>
      </c>
      <c r="AI56" s="78">
        <f>RÉALISÉ!L56</f>
        <v/>
      </c>
      <c r="AJ56" s="78">
        <f>AI56-AH56</f>
        <v/>
      </c>
      <c r="AK56" s="78">
        <f>BUDGET!M56</f>
        <v/>
      </c>
      <c r="AL56" s="78">
        <f>RÉALISÉ!M56</f>
        <v/>
      </c>
      <c r="AM56" s="78">
        <f>AL56-AK56</f>
        <v/>
      </c>
      <c r="AN56" s="78">
        <f>BUDGET!N56</f>
        <v/>
      </c>
      <c r="AO56" s="78">
        <f>RÉALISÉ!N56</f>
        <v/>
      </c>
      <c r="AP56" s="78">
        <f>AO56-AN56</f>
        <v/>
      </c>
      <c r="AQ56" s="78">
        <f>BUDGET!O56</f>
        <v/>
      </c>
      <c r="AR56" s="78">
        <f>RÉALISÉ!O56</f>
        <v/>
      </c>
      <c r="AS56" s="78">
        <f>AR56-AQ56</f>
        <v/>
      </c>
    </row>
    <row r="57" ht="18" customHeight="1">
      <c r="C57" s="83" t="inlineStr">
        <is>
          <t xml:space="preserve">    Formation des élus</t>
        </is>
      </c>
      <c r="D57" s="84">
        <f>BUDGET!D57+BUDGET!E57+BUDGET!F57+BUDGET!G57+BUDGET!H57+BUDGET!I57+BUDGET!J57+BUDGET!K57+BUDGET!L57+BUDGET!M57+BUDGET!N57+BUDGET!O57</f>
        <v/>
      </c>
      <c r="E57" s="84">
        <f>RÉALISÉ!D57+RÉALISÉ!E57+RÉALISÉ!F57+RÉALISÉ!G57+RÉALISÉ!H57+RÉALISÉ!I57+RÉALISÉ!J57+RÉALISÉ!K57+RÉALISÉ!L57+RÉALISÉ!M57+RÉALISÉ!N57+RÉALISÉ!O57</f>
        <v/>
      </c>
      <c r="F57" s="84" t="inlineStr"/>
      <c r="G57" s="74">
        <f>D57-E57</f>
        <v/>
      </c>
      <c r="H57" s="75">
        <f>IF(D57&lt;&gt;0,E57/D57,"")</f>
        <v/>
      </c>
      <c r="I57" s="76">
        <f>IF(D57=0,"—",IF(H57&gt;=1.1,"🔴 Dépassé",IF(H57&gt;=0.9,"🟠 Attention",IF(H57&gt;=0.5,"🟢 OK","🔵 En cours"))))</f>
        <v/>
      </c>
      <c r="J57" s="77">
        <f>BUDGET!D57</f>
        <v/>
      </c>
      <c r="K57" s="77">
        <f>RÉALISÉ!D57</f>
        <v/>
      </c>
      <c r="L57" s="77">
        <f>K57-J57</f>
        <v/>
      </c>
      <c r="M57" s="77">
        <f>BUDGET!E57</f>
        <v/>
      </c>
      <c r="N57" s="77">
        <f>RÉALISÉ!E57</f>
        <v/>
      </c>
      <c r="O57" s="77">
        <f>N57-M57</f>
        <v/>
      </c>
      <c r="P57" s="77">
        <f>BUDGET!F57</f>
        <v/>
      </c>
      <c r="Q57" s="77">
        <f>RÉALISÉ!F57</f>
        <v/>
      </c>
      <c r="R57" s="77">
        <f>Q57-P57</f>
        <v/>
      </c>
      <c r="S57" s="78">
        <f>BUDGET!G57</f>
        <v/>
      </c>
      <c r="T57" s="78">
        <f>RÉALISÉ!G57</f>
        <v/>
      </c>
      <c r="U57" s="78">
        <f>T57-S57</f>
        <v/>
      </c>
      <c r="V57" s="78">
        <f>BUDGET!H57</f>
        <v/>
      </c>
      <c r="W57" s="78">
        <f>RÉALISÉ!H57</f>
        <v/>
      </c>
      <c r="X57" s="78">
        <f>W57-V57</f>
        <v/>
      </c>
      <c r="Y57" s="78">
        <f>BUDGET!I57</f>
        <v/>
      </c>
      <c r="Z57" s="78">
        <f>RÉALISÉ!I57</f>
        <v/>
      </c>
      <c r="AA57" s="78">
        <f>Z57-Y57</f>
        <v/>
      </c>
      <c r="AB57" s="78">
        <f>BUDGET!J57</f>
        <v/>
      </c>
      <c r="AC57" s="78">
        <f>RÉALISÉ!J57</f>
        <v/>
      </c>
      <c r="AD57" s="78">
        <f>AC57-AB57</f>
        <v/>
      </c>
      <c r="AE57" s="78">
        <f>BUDGET!K57</f>
        <v/>
      </c>
      <c r="AF57" s="78">
        <f>RÉALISÉ!K57</f>
        <v/>
      </c>
      <c r="AG57" s="78">
        <f>AF57-AE57</f>
        <v/>
      </c>
      <c r="AH57" s="78">
        <f>BUDGET!L57</f>
        <v/>
      </c>
      <c r="AI57" s="78">
        <f>RÉALISÉ!L57</f>
        <v/>
      </c>
      <c r="AJ57" s="78">
        <f>AI57-AH57</f>
        <v/>
      </c>
      <c r="AK57" s="78">
        <f>BUDGET!M57</f>
        <v/>
      </c>
      <c r="AL57" s="78">
        <f>RÉALISÉ!M57</f>
        <v/>
      </c>
      <c r="AM57" s="78">
        <f>AL57-AK57</f>
        <v/>
      </c>
      <c r="AN57" s="78">
        <f>BUDGET!N57</f>
        <v/>
      </c>
      <c r="AO57" s="78">
        <f>RÉALISÉ!N57</f>
        <v/>
      </c>
      <c r="AP57" s="78">
        <f>AO57-AN57</f>
        <v/>
      </c>
      <c r="AQ57" s="78">
        <f>BUDGET!O57</f>
        <v/>
      </c>
      <c r="AR57" s="78">
        <f>RÉALISÉ!O57</f>
        <v/>
      </c>
      <c r="AS57" s="78">
        <f>AR57-AQ57</f>
        <v/>
      </c>
    </row>
    <row r="58" ht="18" customHeight="1">
      <c r="C58" s="72" t="inlineStr">
        <is>
          <t xml:space="preserve">    Sorties non catégorisées</t>
        </is>
      </c>
      <c r="D58" s="73">
        <f>BUDGET!D58+BUDGET!E58+BUDGET!F58+BUDGET!G58+BUDGET!H58+BUDGET!I58+BUDGET!J58+BUDGET!K58+BUDGET!L58+BUDGET!M58+BUDGET!N58+BUDGET!O58</f>
        <v/>
      </c>
      <c r="E58" s="73">
        <f>RÉALISÉ!D58+RÉALISÉ!E58+RÉALISÉ!F58+RÉALISÉ!G58+RÉALISÉ!H58+RÉALISÉ!I58+RÉALISÉ!J58+RÉALISÉ!K58+RÉALISÉ!L58+RÉALISÉ!M58+RÉALISÉ!N58+RÉALISÉ!O58</f>
        <v/>
      </c>
      <c r="F58" s="73" t="inlineStr"/>
      <c r="G58" s="74">
        <f>D58-E58</f>
        <v/>
      </c>
      <c r="H58" s="75">
        <f>IF(D58&lt;&gt;0,E58/D58,"")</f>
        <v/>
      </c>
      <c r="I58" s="76">
        <f>IF(D58=0,"—",IF(H58&gt;=1.1,"🔴 Dépassé",IF(H58&gt;=0.9,"🟠 Attention",IF(H58&gt;=0.5,"🟢 OK","🔵 En cours"))))</f>
        <v/>
      </c>
      <c r="J58" s="77">
        <f>BUDGET!D58</f>
        <v/>
      </c>
      <c r="K58" s="77">
        <f>RÉALISÉ!D58</f>
        <v/>
      </c>
      <c r="L58" s="77">
        <f>K58-J58</f>
        <v/>
      </c>
      <c r="M58" s="77">
        <f>BUDGET!E58</f>
        <v/>
      </c>
      <c r="N58" s="77">
        <f>RÉALISÉ!E58</f>
        <v/>
      </c>
      <c r="O58" s="77">
        <f>N58-M58</f>
        <v/>
      </c>
      <c r="P58" s="77">
        <f>BUDGET!F58</f>
        <v/>
      </c>
      <c r="Q58" s="77">
        <f>RÉALISÉ!F58</f>
        <v/>
      </c>
      <c r="R58" s="77">
        <f>Q58-P58</f>
        <v/>
      </c>
      <c r="S58" s="78">
        <f>BUDGET!G58</f>
        <v/>
      </c>
      <c r="T58" s="78">
        <f>RÉALISÉ!G58</f>
        <v/>
      </c>
      <c r="U58" s="78">
        <f>T58-S58</f>
        <v/>
      </c>
      <c r="V58" s="78">
        <f>BUDGET!H58</f>
        <v/>
      </c>
      <c r="W58" s="78">
        <f>RÉALISÉ!H58</f>
        <v/>
      </c>
      <c r="X58" s="78">
        <f>W58-V58</f>
        <v/>
      </c>
      <c r="Y58" s="78">
        <f>BUDGET!I58</f>
        <v/>
      </c>
      <c r="Z58" s="78">
        <f>RÉALISÉ!I58</f>
        <v/>
      </c>
      <c r="AA58" s="78">
        <f>Z58-Y58</f>
        <v/>
      </c>
      <c r="AB58" s="78">
        <f>BUDGET!J58</f>
        <v/>
      </c>
      <c r="AC58" s="78">
        <f>RÉALISÉ!J58</f>
        <v/>
      </c>
      <c r="AD58" s="78">
        <f>AC58-AB58</f>
        <v/>
      </c>
      <c r="AE58" s="78">
        <f>BUDGET!K58</f>
        <v/>
      </c>
      <c r="AF58" s="78">
        <f>RÉALISÉ!K58</f>
        <v/>
      </c>
      <c r="AG58" s="78">
        <f>AF58-AE58</f>
        <v/>
      </c>
      <c r="AH58" s="78">
        <f>BUDGET!L58</f>
        <v/>
      </c>
      <c r="AI58" s="78">
        <f>RÉALISÉ!L58</f>
        <v/>
      </c>
      <c r="AJ58" s="78">
        <f>AI58-AH58</f>
        <v/>
      </c>
      <c r="AK58" s="78">
        <f>BUDGET!M58</f>
        <v/>
      </c>
      <c r="AL58" s="78">
        <f>RÉALISÉ!M58</f>
        <v/>
      </c>
      <c r="AM58" s="78">
        <f>AL58-AK58</f>
        <v/>
      </c>
      <c r="AN58" s="78">
        <f>BUDGET!N58</f>
        <v/>
      </c>
      <c r="AO58" s="78">
        <f>RÉALISÉ!N58</f>
        <v/>
      </c>
      <c r="AP58" s="78">
        <f>AO58-AN58</f>
        <v/>
      </c>
      <c r="AQ58" s="78">
        <f>BUDGET!O58</f>
        <v/>
      </c>
      <c r="AR58" s="78">
        <f>RÉALISÉ!O58</f>
        <v/>
      </c>
      <c r="AS58" s="78">
        <f>AR58-AQ58</f>
        <v/>
      </c>
    </row>
    <row r="59" ht="18" customHeight="1">
      <c r="C59" s="83" t="inlineStr">
        <is>
          <t xml:space="preserve">    Paiement TVA</t>
        </is>
      </c>
      <c r="D59" s="84">
        <f>BUDGET!D59+BUDGET!E59+BUDGET!F59+BUDGET!G59+BUDGET!H59+BUDGET!I59+BUDGET!J59+BUDGET!K59+BUDGET!L59+BUDGET!M59+BUDGET!N59+BUDGET!O59</f>
        <v/>
      </c>
      <c r="E59" s="84">
        <f>RÉALISÉ!D59+RÉALISÉ!E59+RÉALISÉ!F59+RÉALISÉ!G59+RÉALISÉ!H59+RÉALISÉ!I59+RÉALISÉ!J59+RÉALISÉ!K59+RÉALISÉ!L59+RÉALISÉ!M59+RÉALISÉ!N59+RÉALISÉ!O59</f>
        <v/>
      </c>
      <c r="F59" s="84" t="inlineStr"/>
      <c r="G59" s="74">
        <f>D59-E59</f>
        <v/>
      </c>
      <c r="H59" s="75">
        <f>IF(D59&lt;&gt;0,E59/D59,"")</f>
        <v/>
      </c>
      <c r="I59" s="76">
        <f>IF(D59=0,"—",IF(H59&gt;=1.1,"🔴 Dépassé",IF(H59&gt;=0.9,"🟠 Attention",IF(H59&gt;=0.5,"🟢 OK","🔵 En cours"))))</f>
        <v/>
      </c>
      <c r="J59" s="77">
        <f>BUDGET!D59</f>
        <v/>
      </c>
      <c r="K59" s="77">
        <f>RÉALISÉ!D59</f>
        <v/>
      </c>
      <c r="L59" s="77">
        <f>K59-J59</f>
        <v/>
      </c>
      <c r="M59" s="77">
        <f>BUDGET!E59</f>
        <v/>
      </c>
      <c r="N59" s="77">
        <f>RÉALISÉ!E59</f>
        <v/>
      </c>
      <c r="O59" s="77">
        <f>N59-M59</f>
        <v/>
      </c>
      <c r="P59" s="77">
        <f>BUDGET!F59</f>
        <v/>
      </c>
      <c r="Q59" s="77">
        <f>RÉALISÉ!F59</f>
        <v/>
      </c>
      <c r="R59" s="77">
        <f>Q59-P59</f>
        <v/>
      </c>
      <c r="S59" s="78">
        <f>BUDGET!G59</f>
        <v/>
      </c>
      <c r="T59" s="78">
        <f>RÉALISÉ!G59</f>
        <v/>
      </c>
      <c r="U59" s="78">
        <f>T59-S59</f>
        <v/>
      </c>
      <c r="V59" s="78">
        <f>BUDGET!H59</f>
        <v/>
      </c>
      <c r="W59" s="78">
        <f>RÉALISÉ!H59</f>
        <v/>
      </c>
      <c r="X59" s="78">
        <f>W59-V59</f>
        <v/>
      </c>
      <c r="Y59" s="78">
        <f>BUDGET!I59</f>
        <v/>
      </c>
      <c r="Z59" s="78">
        <f>RÉALISÉ!I59</f>
        <v/>
      </c>
      <c r="AA59" s="78">
        <f>Z59-Y59</f>
        <v/>
      </c>
      <c r="AB59" s="78">
        <f>BUDGET!J59</f>
        <v/>
      </c>
      <c r="AC59" s="78">
        <f>RÉALISÉ!J59</f>
        <v/>
      </c>
      <c r="AD59" s="78">
        <f>AC59-AB59</f>
        <v/>
      </c>
      <c r="AE59" s="78">
        <f>BUDGET!K59</f>
        <v/>
      </c>
      <c r="AF59" s="78">
        <f>RÉALISÉ!K59</f>
        <v/>
      </c>
      <c r="AG59" s="78">
        <f>AF59-AE59</f>
        <v/>
      </c>
      <c r="AH59" s="78">
        <f>BUDGET!L59</f>
        <v/>
      </c>
      <c r="AI59" s="78">
        <f>RÉALISÉ!L59</f>
        <v/>
      </c>
      <c r="AJ59" s="78">
        <f>AI59-AH59</f>
        <v/>
      </c>
      <c r="AK59" s="78">
        <f>BUDGET!M59</f>
        <v/>
      </c>
      <c r="AL59" s="78">
        <f>RÉALISÉ!M59</f>
        <v/>
      </c>
      <c r="AM59" s="78">
        <f>AL59-AK59</f>
        <v/>
      </c>
      <c r="AN59" s="78">
        <f>BUDGET!N59</f>
        <v/>
      </c>
      <c r="AO59" s="78">
        <f>RÉALISÉ!N59</f>
        <v/>
      </c>
      <c r="AP59" s="78">
        <f>AO59-AN59</f>
        <v/>
      </c>
      <c r="AQ59" s="78">
        <f>BUDGET!O59</f>
        <v/>
      </c>
      <c r="AR59" s="78">
        <f>RÉALISÉ!O59</f>
        <v/>
      </c>
      <c r="AS59" s="78">
        <f>AR59-AQ59</f>
        <v/>
      </c>
    </row>
    <row r="60" ht="18" customHeight="1">
      <c r="C60" s="63" t="inlineStr">
        <is>
          <t>Trésorerie fin de mois</t>
        </is>
      </c>
      <c r="D60" s="64" t="inlineStr"/>
      <c r="E60" s="64" t="inlineStr"/>
      <c r="F60" s="64" t="inlineStr"/>
      <c r="G60" s="64" t="inlineStr"/>
      <c r="H60" s="64" t="inlineStr"/>
      <c r="I60" s="64" t="inlineStr"/>
      <c r="J60" s="65" t="inlineStr"/>
      <c r="K60" s="66">
        <f>RÉALISÉ!D60</f>
        <v/>
      </c>
      <c r="L60" s="64" t="inlineStr"/>
      <c r="M60" s="65" t="inlineStr"/>
      <c r="N60" s="66">
        <f>RÉALISÉ!E60</f>
        <v/>
      </c>
      <c r="O60" s="64" t="inlineStr"/>
      <c r="P60" s="65" t="inlineStr"/>
      <c r="Q60" s="66">
        <f>RÉALISÉ!F60</f>
        <v/>
      </c>
      <c r="R60" s="64" t="inlineStr"/>
      <c r="S60" s="65" t="inlineStr"/>
      <c r="T60" s="66">
        <f>RÉALISÉ!G60</f>
        <v/>
      </c>
      <c r="U60" s="64" t="inlineStr"/>
      <c r="V60" s="65" t="inlineStr"/>
      <c r="W60" s="65" t="inlineStr"/>
      <c r="X60" s="64" t="inlineStr"/>
      <c r="Y60" s="65" t="inlineStr"/>
      <c r="Z60" s="65" t="inlineStr"/>
      <c r="AA60" s="64" t="inlineStr"/>
      <c r="AB60" s="65" t="inlineStr"/>
      <c r="AC60" s="65" t="inlineStr"/>
      <c r="AD60" s="64" t="inlineStr"/>
      <c r="AE60" s="65" t="inlineStr"/>
      <c r="AF60" s="65" t="inlineStr"/>
      <c r="AG60" s="64" t="inlineStr"/>
      <c r="AH60" s="65" t="inlineStr"/>
      <c r="AI60" s="65" t="inlineStr"/>
      <c r="AJ60" s="64" t="inlineStr"/>
      <c r="AK60" s="65" t="inlineStr"/>
      <c r="AL60" s="65" t="inlineStr"/>
      <c r="AM60" s="64" t="inlineStr"/>
      <c r="AN60" s="65" t="inlineStr"/>
      <c r="AO60" s="65" t="inlineStr"/>
      <c r="AP60" s="64" t="inlineStr"/>
      <c r="AQ60" s="65" t="inlineStr"/>
      <c r="AR60" s="65" t="inlineStr"/>
      <c r="AS60" s="64" t="inlineStr"/>
    </row>
  </sheetData>
  <mergeCells count="15">
    <mergeCell ref="D2:I2"/>
    <mergeCell ref="J2:L2"/>
    <mergeCell ref="Y2:AA2"/>
    <mergeCell ref="AB2:AD2"/>
    <mergeCell ref="AE2:AG2"/>
    <mergeCell ref="P2:R2"/>
    <mergeCell ref="AK2:AM2"/>
    <mergeCell ref="AN2:AP2"/>
    <mergeCell ref="C1:AS1"/>
    <mergeCell ref="C2"/>
    <mergeCell ref="AQ2:AS2"/>
    <mergeCell ref="M2:O2"/>
    <mergeCell ref="S2:U2"/>
    <mergeCell ref="AH2:AJ2"/>
    <mergeCell ref="V2:X2"/>
  </mergeCells>
  <conditionalFormatting sqref="L4:L60">
    <cfRule type="cellIs" priority="1" operator="greaterThan" dxfId="0" stopIfTrue="0">
      <formula>500</formula>
    </cfRule>
    <cfRule type="cellIs" priority="2" operator="lessThan" dxfId="1" stopIfTrue="0">
      <formula>-500</formula>
    </cfRule>
  </conditionalFormatting>
  <conditionalFormatting sqref="O4:O60">
    <cfRule type="cellIs" priority="3" operator="greaterThan" dxfId="0" stopIfTrue="0">
      <formula>500</formula>
    </cfRule>
    <cfRule type="cellIs" priority="4" operator="lessThan" dxfId="1" stopIfTrue="0">
      <formula>-500</formula>
    </cfRule>
  </conditionalFormatting>
  <conditionalFormatting sqref="R4:R60">
    <cfRule type="cellIs" priority="5" operator="greaterThan" dxfId="0" stopIfTrue="0">
      <formula>500</formula>
    </cfRule>
    <cfRule type="cellIs" priority="6" operator="lessThan" dxfId="1" stopIfTrue="0">
      <formula>-500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P6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C1" s="85" t="inlineStr">
        <is>
          <t>💰  BUDGET ANNUEL — Saisie par catégorie et par mois | CSE LIDL ENTZHEIM</t>
        </is>
      </c>
    </row>
    <row r="2" ht="20" customHeight="1">
      <c r="C2" s="86" t="inlineStr">
        <is>
          <t>Saisir le budget prévisionnel par catégorie (cellules bleues). Exercice : Mars 2026 – Février 2027.</t>
        </is>
      </c>
    </row>
    <row r="3" ht="30" customHeight="1">
      <c r="C3" s="87" t="inlineStr">
        <is>
          <t>CATÉGORIE</t>
        </is>
      </c>
      <c r="D3" s="88" t="inlineStr">
        <is>
          <t>Mars 2026</t>
        </is>
      </c>
      <c r="E3" s="88" t="inlineStr">
        <is>
          <t>Avril 2026</t>
        </is>
      </c>
      <c r="F3" s="88" t="inlineStr">
        <is>
          <t>Mai 2026</t>
        </is>
      </c>
      <c r="G3" s="88" t="inlineStr">
        <is>
          <t>Juin 2026</t>
        </is>
      </c>
      <c r="H3" s="88" t="inlineStr">
        <is>
          <t>Juillet 2026</t>
        </is>
      </c>
      <c r="I3" s="88" t="inlineStr">
        <is>
          <t>Août 2026</t>
        </is>
      </c>
      <c r="J3" s="88" t="inlineStr">
        <is>
          <t>Septembre 2026</t>
        </is>
      </c>
      <c r="K3" s="88" t="inlineStr">
        <is>
          <t>Octobre 2026</t>
        </is>
      </c>
      <c r="L3" s="88" t="inlineStr">
        <is>
          <t>Novembre 2026</t>
        </is>
      </c>
      <c r="M3" s="88" t="inlineStr">
        <is>
          <t>Décembre 2026</t>
        </is>
      </c>
      <c r="N3" s="88" t="inlineStr">
        <is>
          <t>Janvier 2027</t>
        </is>
      </c>
      <c r="O3" s="88" t="inlineStr">
        <is>
          <t>Février 2027</t>
        </is>
      </c>
      <c r="P3" s="89" t="inlineStr">
        <is>
          <t>TOTAL BUDGET</t>
        </is>
      </c>
    </row>
    <row r="4" ht="18" customHeight="1">
      <c r="C4" s="90" t="inlineStr">
        <is>
          <t>Trésorerie début de mois</t>
        </is>
      </c>
      <c r="D4" s="91" t="inlineStr"/>
      <c r="E4" s="91" t="inlineStr"/>
      <c r="F4" s="91" t="inlineStr"/>
      <c r="G4" s="91" t="inlineStr"/>
      <c r="H4" s="91" t="inlineStr"/>
      <c r="I4" s="91" t="inlineStr"/>
      <c r="J4" s="91" t="inlineStr"/>
      <c r="K4" s="91" t="inlineStr"/>
      <c r="L4" s="91" t="inlineStr"/>
      <c r="M4" s="91" t="inlineStr"/>
      <c r="N4" s="91" t="inlineStr"/>
      <c r="O4" s="91" t="inlineStr"/>
      <c r="P4" s="92" t="inlineStr"/>
    </row>
    <row r="5" ht="18" customHeight="1">
      <c r="C5" s="93" t="inlineStr">
        <is>
          <t>ENTRÉES</t>
        </is>
      </c>
      <c r="D5" s="94" t="inlineStr"/>
      <c r="E5" s="94" t="inlineStr"/>
      <c r="F5" s="94" t="inlineStr"/>
      <c r="G5" s="94" t="inlineStr"/>
      <c r="H5" s="94" t="inlineStr"/>
      <c r="I5" s="94" t="inlineStr"/>
      <c r="J5" s="94" t="inlineStr"/>
      <c r="K5" s="94" t="inlineStr"/>
      <c r="L5" s="94" t="inlineStr"/>
      <c r="M5" s="94" t="inlineStr"/>
      <c r="N5" s="94" t="inlineStr"/>
      <c r="O5" s="94" t="inlineStr"/>
      <c r="P5" s="95" t="inlineStr"/>
    </row>
    <row r="6" ht="18" customHeight="1">
      <c r="C6" s="72" t="inlineStr">
        <is>
          <t xml:space="preserve">    Recette de la billetterie</t>
        </is>
      </c>
      <c r="D6" s="96" t="n">
        <v>13000</v>
      </c>
      <c r="E6" s="97" t="n">
        <v>0</v>
      </c>
      <c r="F6" s="97" t="n">
        <v>0</v>
      </c>
      <c r="G6" s="97" t="n">
        <v>0</v>
      </c>
      <c r="H6" s="97" t="n">
        <v>0</v>
      </c>
      <c r="I6" s="97" t="n">
        <v>0</v>
      </c>
      <c r="J6" s="97" t="n">
        <v>0</v>
      </c>
      <c r="K6" s="97" t="n">
        <v>0</v>
      </c>
      <c r="L6" s="97" t="n">
        <v>0</v>
      </c>
      <c r="M6" s="97" t="n">
        <v>0</v>
      </c>
      <c r="N6" s="97" t="n">
        <v>0</v>
      </c>
      <c r="O6" s="97" t="n">
        <v>0</v>
      </c>
      <c r="P6" s="98">
        <f>SUM(D6:O6)</f>
        <v/>
      </c>
    </row>
    <row r="7" ht="18" customHeight="1">
      <c r="C7" s="99" t="inlineStr">
        <is>
          <t xml:space="preserve">        Rétrocession Commission - Machines à café</t>
        </is>
      </c>
      <c r="D7" s="97" t="n">
        <v>0</v>
      </c>
      <c r="E7" s="97" t="n">
        <v>0</v>
      </c>
      <c r="F7" s="97" t="n">
        <v>0</v>
      </c>
      <c r="G7" s="97" t="n">
        <v>0</v>
      </c>
      <c r="H7" s="97" t="n">
        <v>0</v>
      </c>
      <c r="I7" s="97" t="n">
        <v>0</v>
      </c>
      <c r="J7" s="97" t="n">
        <v>0</v>
      </c>
      <c r="K7" s="97" t="n">
        <v>0</v>
      </c>
      <c r="L7" s="97" t="n">
        <v>0</v>
      </c>
      <c r="M7" s="97" t="n">
        <v>0</v>
      </c>
      <c r="N7" s="97" t="n">
        <v>0</v>
      </c>
      <c r="O7" s="97" t="n">
        <v>0</v>
      </c>
      <c r="P7" s="98">
        <f>SUM(D7:O7)</f>
        <v/>
      </c>
    </row>
    <row r="8" ht="18" customHeight="1">
      <c r="C8" s="100" t="inlineStr">
        <is>
          <t xml:space="preserve">        Remboursements achats salariés</t>
        </is>
      </c>
      <c r="D8" s="97" t="n">
        <v>0</v>
      </c>
      <c r="E8" s="97" t="n">
        <v>0</v>
      </c>
      <c r="F8" s="97" t="n">
        <v>0</v>
      </c>
      <c r="G8" s="97" t="n">
        <v>0</v>
      </c>
      <c r="H8" s="97" t="n">
        <v>0</v>
      </c>
      <c r="I8" s="97" t="n">
        <v>0</v>
      </c>
      <c r="J8" s="97" t="n">
        <v>0</v>
      </c>
      <c r="K8" s="97" t="n">
        <v>0</v>
      </c>
      <c r="L8" s="97" t="n">
        <v>0</v>
      </c>
      <c r="M8" s="97" t="n">
        <v>0</v>
      </c>
      <c r="N8" s="97" t="n">
        <v>0</v>
      </c>
      <c r="O8" s="97" t="n">
        <v>0</v>
      </c>
      <c r="P8" s="98">
        <f>SUM(D8:O8)</f>
        <v/>
      </c>
    </row>
    <row r="9" ht="18" customHeight="1">
      <c r="C9" s="83" t="inlineStr">
        <is>
          <t xml:space="preserve">    Entrées non catégorisées</t>
        </is>
      </c>
      <c r="D9" s="97" t="n">
        <v>0</v>
      </c>
      <c r="E9" s="97" t="n">
        <v>0</v>
      </c>
      <c r="F9" s="97" t="n">
        <v>0</v>
      </c>
      <c r="G9" s="97" t="n">
        <v>0</v>
      </c>
      <c r="H9" s="97" t="n">
        <v>0</v>
      </c>
      <c r="I9" s="97" t="n">
        <v>0</v>
      </c>
      <c r="J9" s="97" t="n">
        <v>0</v>
      </c>
      <c r="K9" s="97" t="n">
        <v>0</v>
      </c>
      <c r="L9" s="97" t="n">
        <v>0</v>
      </c>
      <c r="M9" s="97" t="n">
        <v>0</v>
      </c>
      <c r="N9" s="97" t="n">
        <v>0</v>
      </c>
      <c r="O9" s="97" t="n">
        <v>0</v>
      </c>
      <c r="P9" s="98">
        <f>SUM(D9:O9)</f>
        <v/>
      </c>
    </row>
    <row r="10" ht="18" customHeight="1">
      <c r="C10" s="72" t="inlineStr">
        <is>
          <t xml:space="preserve">    Remboursement de TVA</t>
        </is>
      </c>
      <c r="D10" s="97" t="n">
        <v>0</v>
      </c>
      <c r="E10" s="97" t="n">
        <v>0</v>
      </c>
      <c r="F10" s="97" t="n">
        <v>0</v>
      </c>
      <c r="G10" s="97" t="n">
        <v>0</v>
      </c>
      <c r="H10" s="97" t="n">
        <v>0</v>
      </c>
      <c r="I10" s="97" t="n">
        <v>0</v>
      </c>
      <c r="J10" s="97" t="n">
        <v>0</v>
      </c>
      <c r="K10" s="97" t="n">
        <v>0</v>
      </c>
      <c r="L10" s="97" t="n">
        <v>0</v>
      </c>
      <c r="M10" s="97" t="n">
        <v>0</v>
      </c>
      <c r="N10" s="97" t="n">
        <v>0</v>
      </c>
      <c r="O10" s="97" t="n">
        <v>0</v>
      </c>
      <c r="P10" s="98">
        <f>SUM(D10:O10)</f>
        <v/>
      </c>
    </row>
    <row r="11" ht="18" customHeight="1">
      <c r="C11" s="93" t="inlineStr">
        <is>
          <t>SORTIES</t>
        </is>
      </c>
      <c r="D11" s="94" t="inlineStr"/>
      <c r="E11" s="94" t="inlineStr"/>
      <c r="F11" s="94" t="inlineStr"/>
      <c r="G11" s="94" t="inlineStr"/>
      <c r="H11" s="94" t="inlineStr"/>
      <c r="I11" s="94" t="inlineStr"/>
      <c r="J11" s="94" t="inlineStr"/>
      <c r="K11" s="94" t="inlineStr"/>
      <c r="L11" s="94" t="inlineStr"/>
      <c r="M11" s="94" t="inlineStr"/>
      <c r="N11" s="94" t="inlineStr"/>
      <c r="O11" s="94" t="inlineStr"/>
      <c r="P11" s="95" t="inlineStr"/>
    </row>
    <row r="12" ht="18" customHeight="1">
      <c r="C12" s="72" t="inlineStr">
        <is>
          <t xml:space="preserve">    Achat Billets</t>
        </is>
      </c>
      <c r="D12" s="97" t="n">
        <v>0</v>
      </c>
      <c r="E12" s="97" t="n">
        <v>0</v>
      </c>
      <c r="F12" s="97" t="n">
        <v>0</v>
      </c>
      <c r="G12" s="97" t="n">
        <v>0</v>
      </c>
      <c r="H12" s="97" t="n">
        <v>0</v>
      </c>
      <c r="I12" s="97" t="n">
        <v>0</v>
      </c>
      <c r="J12" s="97" t="n">
        <v>0</v>
      </c>
      <c r="K12" s="97" t="n">
        <v>0</v>
      </c>
      <c r="L12" s="97" t="n">
        <v>0</v>
      </c>
      <c r="M12" s="97" t="n">
        <v>0</v>
      </c>
      <c r="N12" s="97" t="n">
        <v>0</v>
      </c>
      <c r="O12" s="97" t="n">
        <v>0</v>
      </c>
      <c r="P12" s="98">
        <f>SUM(D12:O12)</f>
        <v/>
      </c>
    </row>
    <row r="13" ht="18" customHeight="1">
      <c r="C13" s="99" t="inlineStr">
        <is>
          <t xml:space="preserve">        Europapark &amp; Rulantica</t>
        </is>
      </c>
      <c r="D13" s="97" t="n">
        <v>0</v>
      </c>
      <c r="E13" s="97" t="n">
        <v>0</v>
      </c>
      <c r="F13" s="97" t="n">
        <v>0</v>
      </c>
      <c r="G13" s="97" t="n">
        <v>0</v>
      </c>
      <c r="H13" s="97" t="n">
        <v>0</v>
      </c>
      <c r="I13" s="97" t="n">
        <v>0</v>
      </c>
      <c r="J13" s="97" t="n">
        <v>0</v>
      </c>
      <c r="K13" s="97" t="n">
        <v>0</v>
      </c>
      <c r="L13" s="97" t="n">
        <v>0</v>
      </c>
      <c r="M13" s="97" t="n">
        <v>0</v>
      </c>
      <c r="N13" s="97" t="n">
        <v>0</v>
      </c>
      <c r="O13" s="97" t="n">
        <v>0</v>
      </c>
      <c r="P13" s="98">
        <f>SUM(D13:O13)</f>
        <v/>
      </c>
    </row>
    <row r="14" ht="18" customHeight="1">
      <c r="C14" s="100" t="inlineStr">
        <is>
          <t xml:space="preserve">        Speedpark</t>
        </is>
      </c>
      <c r="D14" s="97" t="n">
        <v>0</v>
      </c>
      <c r="E14" s="97" t="n">
        <v>0</v>
      </c>
      <c r="F14" s="97" t="n">
        <v>0</v>
      </c>
      <c r="G14" s="97" t="n">
        <v>0</v>
      </c>
      <c r="H14" s="97" t="n">
        <v>0</v>
      </c>
      <c r="I14" s="97" t="n">
        <v>0</v>
      </c>
      <c r="J14" s="97" t="n">
        <v>0</v>
      </c>
      <c r="K14" s="97" t="n">
        <v>0</v>
      </c>
      <c r="L14" s="97" t="n">
        <v>0</v>
      </c>
      <c r="M14" s="97" t="n">
        <v>0</v>
      </c>
      <c r="N14" s="97" t="n">
        <v>0</v>
      </c>
      <c r="O14" s="97" t="n">
        <v>0</v>
      </c>
      <c r="P14" s="98">
        <f>SUM(D14:O14)</f>
        <v/>
      </c>
    </row>
    <row r="15" ht="18" customHeight="1">
      <c r="C15" s="99" t="inlineStr">
        <is>
          <t xml:space="preserve">        Saint-Croix</t>
        </is>
      </c>
      <c r="D15" s="97" t="n">
        <v>0</v>
      </c>
      <c r="E15" s="97" t="n">
        <v>0</v>
      </c>
      <c r="F15" s="97" t="n">
        <v>0</v>
      </c>
      <c r="G15" s="97" t="n">
        <v>0</v>
      </c>
      <c r="H15" s="97" t="n">
        <v>0</v>
      </c>
      <c r="I15" s="97" t="n">
        <v>0</v>
      </c>
      <c r="J15" s="97" t="n">
        <v>0</v>
      </c>
      <c r="K15" s="97" t="n">
        <v>0</v>
      </c>
      <c r="L15" s="97" t="n">
        <v>0</v>
      </c>
      <c r="M15" s="97" t="n">
        <v>0</v>
      </c>
      <c r="N15" s="97" t="n">
        <v>0</v>
      </c>
      <c r="O15" s="97" t="n">
        <v>0</v>
      </c>
      <c r="P15" s="98">
        <f>SUM(D15:O15)</f>
        <v/>
      </c>
    </row>
    <row r="16" ht="18" customHeight="1">
      <c r="C16" s="100" t="inlineStr">
        <is>
          <t xml:space="preserve">        Piscines</t>
        </is>
      </c>
      <c r="D16" s="97" t="n">
        <v>0</v>
      </c>
      <c r="E16" s="97" t="n">
        <v>0</v>
      </c>
      <c r="F16" s="97" t="n">
        <v>0</v>
      </c>
      <c r="G16" s="97" t="n">
        <v>0</v>
      </c>
      <c r="H16" s="97" t="n">
        <v>0</v>
      </c>
      <c r="I16" s="97" t="n">
        <v>0</v>
      </c>
      <c r="J16" s="97" t="n">
        <v>0</v>
      </c>
      <c r="K16" s="97" t="n">
        <v>0</v>
      </c>
      <c r="L16" s="97" t="n">
        <v>0</v>
      </c>
      <c r="M16" s="97" t="n">
        <v>0</v>
      </c>
      <c r="N16" s="97" t="n">
        <v>0</v>
      </c>
      <c r="O16" s="97" t="n">
        <v>0</v>
      </c>
      <c r="P16" s="98">
        <f>SUM(D16:O16)</f>
        <v/>
      </c>
    </row>
    <row r="17" ht="18" customHeight="1">
      <c r="C17" s="99" t="inlineStr">
        <is>
          <t xml:space="preserve">        Parc Amnéville</t>
        </is>
      </c>
      <c r="D17" s="97" t="n">
        <v>0</v>
      </c>
      <c r="E17" s="97" t="n">
        <v>0</v>
      </c>
      <c r="F17" s="97" t="n">
        <v>0</v>
      </c>
      <c r="G17" s="97" t="n">
        <v>0</v>
      </c>
      <c r="H17" s="97" t="n">
        <v>0</v>
      </c>
      <c r="I17" s="97" t="n">
        <v>0</v>
      </c>
      <c r="J17" s="97" t="n">
        <v>0</v>
      </c>
      <c r="K17" s="97" t="n">
        <v>0</v>
      </c>
      <c r="L17" s="97" t="n">
        <v>0</v>
      </c>
      <c r="M17" s="97" t="n">
        <v>0</v>
      </c>
      <c r="N17" s="97" t="n">
        <v>0</v>
      </c>
      <c r="O17" s="97" t="n">
        <v>0</v>
      </c>
      <c r="P17" s="98">
        <f>SUM(D17:O17)</f>
        <v/>
      </c>
    </row>
    <row r="18" ht="18" customHeight="1">
      <c r="C18" s="100" t="inlineStr">
        <is>
          <t xml:space="preserve">        Parc le petit prince</t>
        </is>
      </c>
      <c r="D18" s="97" t="n">
        <v>0</v>
      </c>
      <c r="E18" s="97" t="n">
        <v>0</v>
      </c>
      <c r="F18" s="97" t="n">
        <v>0</v>
      </c>
      <c r="G18" s="97" t="n">
        <v>0</v>
      </c>
      <c r="H18" s="97" t="n">
        <v>0</v>
      </c>
      <c r="I18" s="97" t="n">
        <v>0</v>
      </c>
      <c r="J18" s="97" t="n">
        <v>0</v>
      </c>
      <c r="K18" s="97" t="n">
        <v>0</v>
      </c>
      <c r="L18" s="97" t="n">
        <v>0</v>
      </c>
      <c r="M18" s="97" t="n">
        <v>0</v>
      </c>
      <c r="N18" s="97" t="n">
        <v>0</v>
      </c>
      <c r="O18" s="97" t="n">
        <v>0</v>
      </c>
      <c r="P18" s="98">
        <f>SUM(D18:O18)</f>
        <v/>
      </c>
    </row>
    <row r="19" ht="18" customHeight="1">
      <c r="C19" s="99" t="inlineStr">
        <is>
          <t xml:space="preserve">        Didiland</t>
        </is>
      </c>
      <c r="D19" s="97" t="n">
        <v>0</v>
      </c>
      <c r="E19" s="97" t="n">
        <v>0</v>
      </c>
      <c r="F19" s="97" t="n">
        <v>0</v>
      </c>
      <c r="G19" s="97" t="n">
        <v>0</v>
      </c>
      <c r="H19" s="97" t="n">
        <v>0</v>
      </c>
      <c r="I19" s="97" t="n">
        <v>0</v>
      </c>
      <c r="J19" s="97" t="n">
        <v>0</v>
      </c>
      <c r="K19" s="97" t="n">
        <v>0</v>
      </c>
      <c r="L19" s="97" t="n">
        <v>0</v>
      </c>
      <c r="M19" s="97" t="n">
        <v>0</v>
      </c>
      <c r="N19" s="97" t="n">
        <v>0</v>
      </c>
      <c r="O19" s="97" t="n">
        <v>0</v>
      </c>
      <c r="P19" s="98">
        <f>SUM(D19:O19)</f>
        <v/>
      </c>
    </row>
    <row r="20" ht="18" customHeight="1">
      <c r="C20" s="100" t="inlineStr">
        <is>
          <t xml:space="preserve">        Parc Asterix</t>
        </is>
      </c>
      <c r="D20" s="97" t="n">
        <v>0</v>
      </c>
      <c r="E20" s="97" t="n">
        <v>0</v>
      </c>
      <c r="F20" s="97" t="n">
        <v>0</v>
      </c>
      <c r="G20" s="97" t="n">
        <v>0</v>
      </c>
      <c r="H20" s="97" t="n">
        <v>0</v>
      </c>
      <c r="I20" s="97" t="n">
        <v>0</v>
      </c>
      <c r="J20" s="97" t="n">
        <v>0</v>
      </c>
      <c r="K20" s="97" t="n">
        <v>0</v>
      </c>
      <c r="L20" s="97" t="n">
        <v>0</v>
      </c>
      <c r="M20" s="97" t="n">
        <v>0</v>
      </c>
      <c r="N20" s="97" t="n">
        <v>0</v>
      </c>
      <c r="O20" s="97" t="n">
        <v>0</v>
      </c>
      <c r="P20" s="98">
        <f>SUM(D20:O20)</f>
        <v/>
      </c>
    </row>
    <row r="21" ht="18" customHeight="1">
      <c r="C21" s="99" t="inlineStr">
        <is>
          <t xml:space="preserve">        Cinémas</t>
        </is>
      </c>
      <c r="D21" s="97" t="n">
        <v>0</v>
      </c>
      <c r="E21" s="97" t="n">
        <v>0</v>
      </c>
      <c r="F21" s="97" t="n">
        <v>0</v>
      </c>
      <c r="G21" s="97" t="n">
        <v>0</v>
      </c>
      <c r="H21" s="97" t="n">
        <v>0</v>
      </c>
      <c r="I21" s="97" t="n">
        <v>0</v>
      </c>
      <c r="J21" s="97" t="n">
        <v>0</v>
      </c>
      <c r="K21" s="97" t="n">
        <v>0</v>
      </c>
      <c r="L21" s="97" t="n">
        <v>0</v>
      </c>
      <c r="M21" s="97" t="n">
        <v>0</v>
      </c>
      <c r="N21" s="97" t="n">
        <v>0</v>
      </c>
      <c r="O21" s="97" t="n">
        <v>0</v>
      </c>
      <c r="P21" s="98">
        <f>SUM(D21:O21)</f>
        <v/>
      </c>
    </row>
    <row r="22" ht="18" customHeight="1">
      <c r="C22" s="100" t="inlineStr">
        <is>
          <t xml:space="preserve">        Wonderbox</t>
        </is>
      </c>
      <c r="D22" s="97" t="n">
        <v>0</v>
      </c>
      <c r="E22" s="97" t="n">
        <v>0</v>
      </c>
      <c r="F22" s="97" t="n">
        <v>0</v>
      </c>
      <c r="G22" s="97" t="n">
        <v>0</v>
      </c>
      <c r="H22" s="97" t="n">
        <v>0</v>
      </c>
      <c r="I22" s="97" t="n">
        <v>0</v>
      </c>
      <c r="J22" s="97" t="n">
        <v>0</v>
      </c>
      <c r="K22" s="97" t="n">
        <v>0</v>
      </c>
      <c r="L22" s="97" t="n">
        <v>0</v>
      </c>
      <c r="M22" s="97" t="n">
        <v>0</v>
      </c>
      <c r="N22" s="97" t="n">
        <v>0</v>
      </c>
      <c r="O22" s="97" t="n">
        <v>0</v>
      </c>
      <c r="P22" s="98">
        <f>SUM(D22:O22)</f>
        <v/>
      </c>
    </row>
    <row r="23" ht="18" customHeight="1">
      <c r="C23" s="99" t="inlineStr">
        <is>
          <t xml:space="preserve">        Parc Fraispertuis</t>
        </is>
      </c>
      <c r="D23" s="97" t="n">
        <v>0</v>
      </c>
      <c r="E23" s="97" t="n">
        <v>0</v>
      </c>
      <c r="F23" s="97" t="n">
        <v>0</v>
      </c>
      <c r="G23" s="97" t="n">
        <v>0</v>
      </c>
      <c r="H23" s="97" t="n">
        <v>0</v>
      </c>
      <c r="I23" s="97" t="n">
        <v>0</v>
      </c>
      <c r="J23" s="97" t="n">
        <v>0</v>
      </c>
      <c r="K23" s="97" t="n">
        <v>0</v>
      </c>
      <c r="L23" s="97" t="n">
        <v>0</v>
      </c>
      <c r="M23" s="97" t="n">
        <v>0</v>
      </c>
      <c r="N23" s="97" t="n">
        <v>0</v>
      </c>
      <c r="O23" s="97" t="n">
        <v>0</v>
      </c>
      <c r="P23" s="98">
        <f>SUM(D23:O23)</f>
        <v/>
      </c>
    </row>
    <row r="24" ht="18" customHeight="1">
      <c r="C24" s="100" t="inlineStr">
        <is>
          <t xml:space="preserve">        Parc Cigoland</t>
        </is>
      </c>
      <c r="D24" s="97" t="n">
        <v>0</v>
      </c>
      <c r="E24" s="97" t="n">
        <v>0</v>
      </c>
      <c r="F24" s="97" t="n">
        <v>0</v>
      </c>
      <c r="G24" s="97" t="n">
        <v>0</v>
      </c>
      <c r="H24" s="97" t="n">
        <v>0</v>
      </c>
      <c r="I24" s="97" t="n">
        <v>0</v>
      </c>
      <c r="J24" s="97" t="n">
        <v>0</v>
      </c>
      <c r="K24" s="97" t="n">
        <v>0</v>
      </c>
      <c r="L24" s="97" t="n">
        <v>0</v>
      </c>
      <c r="M24" s="97" t="n">
        <v>0</v>
      </c>
      <c r="N24" s="97" t="n">
        <v>0</v>
      </c>
      <c r="O24" s="97" t="n">
        <v>0</v>
      </c>
      <c r="P24" s="98">
        <f>SUM(D24:O24)</f>
        <v/>
      </c>
    </row>
    <row r="25" ht="18" customHeight="1">
      <c r="C25" s="83" t="inlineStr">
        <is>
          <t xml:space="preserve">    Activités culturelles</t>
        </is>
      </c>
      <c r="D25" s="97" t="n">
        <v>0</v>
      </c>
      <c r="E25" s="97" t="n">
        <v>0</v>
      </c>
      <c r="F25" s="97" t="n">
        <v>0</v>
      </c>
      <c r="G25" s="97" t="n">
        <v>0</v>
      </c>
      <c r="H25" s="97" t="n">
        <v>0</v>
      </c>
      <c r="I25" s="97" t="n">
        <v>0</v>
      </c>
      <c r="J25" s="97" t="n">
        <v>0</v>
      </c>
      <c r="K25" s="97" t="n">
        <v>0</v>
      </c>
      <c r="L25" s="97" t="n">
        <v>0</v>
      </c>
      <c r="M25" s="97" t="n">
        <v>0</v>
      </c>
      <c r="N25" s="97" t="n">
        <v>0</v>
      </c>
      <c r="O25" s="97" t="n">
        <v>0</v>
      </c>
      <c r="P25" s="98">
        <f>SUM(D25:O25)</f>
        <v/>
      </c>
    </row>
    <row r="26" ht="18" customHeight="1">
      <c r="C26" s="100" t="inlineStr">
        <is>
          <t xml:space="preserve">        Evénement Noël</t>
        </is>
      </c>
      <c r="D26" s="97" t="n">
        <v>0</v>
      </c>
      <c r="E26" s="97" t="n">
        <v>0</v>
      </c>
      <c r="F26" s="97" t="n">
        <v>0</v>
      </c>
      <c r="G26" s="97" t="n">
        <v>0</v>
      </c>
      <c r="H26" s="97" t="n">
        <v>0</v>
      </c>
      <c r="I26" s="97" t="n">
        <v>0</v>
      </c>
      <c r="J26" s="97" t="n">
        <v>0</v>
      </c>
      <c r="K26" s="97" t="n">
        <v>0</v>
      </c>
      <c r="L26" s="97" t="n">
        <v>0</v>
      </c>
      <c r="M26" s="97" t="n">
        <v>0</v>
      </c>
      <c r="N26" s="97" t="n">
        <v>0</v>
      </c>
      <c r="O26" s="97" t="n">
        <v>0</v>
      </c>
      <c r="P26" s="98">
        <f>SUM(D26:O26)</f>
        <v/>
      </c>
    </row>
    <row r="27" ht="18" customHeight="1">
      <c r="C27" s="100" t="inlineStr">
        <is>
          <t xml:space="preserve">            Sortie Noël - Royer</t>
        </is>
      </c>
      <c r="D27" s="97" t="n">
        <v>0</v>
      </c>
      <c r="E27" s="97" t="n">
        <v>0</v>
      </c>
      <c r="F27" s="97" t="n">
        <v>0</v>
      </c>
      <c r="G27" s="97" t="n">
        <v>0</v>
      </c>
      <c r="H27" s="97" t="n">
        <v>0</v>
      </c>
      <c r="I27" s="97" t="n">
        <v>0</v>
      </c>
      <c r="J27" s="97" t="n">
        <v>0</v>
      </c>
      <c r="K27" s="97" t="n">
        <v>0</v>
      </c>
      <c r="L27" s="97" t="n">
        <v>0</v>
      </c>
      <c r="M27" s="97" t="n">
        <v>0</v>
      </c>
      <c r="N27" s="97" t="n">
        <v>0</v>
      </c>
      <c r="O27" s="97" t="n">
        <v>0</v>
      </c>
      <c r="P27" s="98">
        <f>SUM(D27:O27)</f>
        <v/>
      </c>
    </row>
    <row r="28" ht="18" customHeight="1">
      <c r="C28" s="100" t="inlineStr">
        <is>
          <t xml:space="preserve">            Sortie Noël 2024 - Royer</t>
        </is>
      </c>
      <c r="D28" s="97" t="n">
        <v>0</v>
      </c>
      <c r="E28" s="97" t="n">
        <v>0</v>
      </c>
      <c r="F28" s="97" t="n">
        <v>0</v>
      </c>
      <c r="G28" s="97" t="n">
        <v>0</v>
      </c>
      <c r="H28" s="97" t="n">
        <v>0</v>
      </c>
      <c r="I28" s="97" t="n">
        <v>0</v>
      </c>
      <c r="J28" s="97" t="n">
        <v>0</v>
      </c>
      <c r="K28" s="97" t="n">
        <v>0</v>
      </c>
      <c r="L28" s="97" t="n">
        <v>0</v>
      </c>
      <c r="M28" s="97" t="n">
        <v>0</v>
      </c>
      <c r="N28" s="97" t="n">
        <v>0</v>
      </c>
      <c r="O28" s="97" t="n">
        <v>0</v>
      </c>
      <c r="P28" s="98">
        <f>SUM(D28:O28)</f>
        <v/>
      </c>
    </row>
    <row r="29" ht="18" customHeight="1">
      <c r="C29" s="83" t="inlineStr">
        <is>
          <t xml:space="preserve">    Activités de loisirs</t>
        </is>
      </c>
      <c r="D29" s="97" t="n">
        <v>0</v>
      </c>
      <c r="E29" s="97" t="n">
        <v>0</v>
      </c>
      <c r="F29" s="97" t="n">
        <v>0</v>
      </c>
      <c r="G29" s="97" t="n">
        <v>0</v>
      </c>
      <c r="H29" s="97" t="n">
        <v>0</v>
      </c>
      <c r="I29" s="97" t="n">
        <v>0</v>
      </c>
      <c r="J29" s="97" t="n">
        <v>0</v>
      </c>
      <c r="K29" s="97" t="n">
        <v>0</v>
      </c>
      <c r="L29" s="97" t="n">
        <v>0</v>
      </c>
      <c r="M29" s="97" t="n">
        <v>0</v>
      </c>
      <c r="N29" s="97" t="n">
        <v>0</v>
      </c>
      <c r="O29" s="97" t="n">
        <v>0</v>
      </c>
      <c r="P29" s="98">
        <f>SUM(D29:O29)</f>
        <v/>
      </c>
    </row>
    <row r="30" ht="18" customHeight="1">
      <c r="C30" s="72" t="inlineStr">
        <is>
          <t xml:space="preserve">    Activités sportives</t>
        </is>
      </c>
      <c r="D30" s="97" t="n">
        <v>0</v>
      </c>
      <c r="E30" s="97" t="n">
        <v>0</v>
      </c>
      <c r="F30" s="97" t="n">
        <v>0</v>
      </c>
      <c r="G30" s="97" t="n">
        <v>0</v>
      </c>
      <c r="H30" s="97" t="n">
        <v>0</v>
      </c>
      <c r="I30" s="97" t="n">
        <v>0</v>
      </c>
      <c r="J30" s="97" t="n">
        <v>0</v>
      </c>
      <c r="K30" s="97" t="n">
        <v>0</v>
      </c>
      <c r="L30" s="97" t="n">
        <v>0</v>
      </c>
      <c r="M30" s="97" t="n">
        <v>0</v>
      </c>
      <c r="N30" s="97" t="n">
        <v>0</v>
      </c>
      <c r="O30" s="97" t="n">
        <v>0</v>
      </c>
      <c r="P30" s="98">
        <f>SUM(D30:O30)</f>
        <v/>
      </c>
    </row>
    <row r="31" ht="18" customHeight="1">
      <c r="C31" s="83" t="inlineStr">
        <is>
          <t xml:space="preserve">    Aides aux voyages</t>
        </is>
      </c>
      <c r="D31" s="97" t="n">
        <v>0</v>
      </c>
      <c r="E31" s="97" t="n">
        <v>0</v>
      </c>
      <c r="F31" s="97" t="n">
        <v>0</v>
      </c>
      <c r="G31" s="97" t="n">
        <v>0</v>
      </c>
      <c r="H31" s="97" t="n">
        <v>0</v>
      </c>
      <c r="I31" s="97" t="n">
        <v>0</v>
      </c>
      <c r="J31" s="97" t="n">
        <v>0</v>
      </c>
      <c r="K31" s="97" t="n">
        <v>0</v>
      </c>
      <c r="L31" s="97" t="n">
        <v>0</v>
      </c>
      <c r="M31" s="96" t="n">
        <v>12000</v>
      </c>
      <c r="N31" s="97" t="n">
        <v>0</v>
      </c>
      <c r="O31" s="97" t="n">
        <v>0</v>
      </c>
      <c r="P31" s="98">
        <f>SUM(D31:O31)</f>
        <v/>
      </c>
    </row>
    <row r="32" ht="18" customHeight="1">
      <c r="C32" s="72" t="inlineStr">
        <is>
          <t xml:space="preserve">    Aides sociales</t>
        </is>
      </c>
      <c r="D32" s="97" t="n">
        <v>0</v>
      </c>
      <c r="E32" s="97" t="n">
        <v>0</v>
      </c>
      <c r="F32" s="97" t="n">
        <v>0</v>
      </c>
      <c r="G32" s="97" t="n">
        <v>0</v>
      </c>
      <c r="H32" s="97" t="n">
        <v>0</v>
      </c>
      <c r="I32" s="97" t="n">
        <v>0</v>
      </c>
      <c r="J32" s="97" t="n">
        <v>0</v>
      </c>
      <c r="K32" s="97" t="n">
        <v>0</v>
      </c>
      <c r="L32" s="97" t="n">
        <v>0</v>
      </c>
      <c r="M32" s="97" t="n">
        <v>0</v>
      </c>
      <c r="N32" s="97" t="n">
        <v>0</v>
      </c>
      <c r="O32" s="97" t="n">
        <v>0</v>
      </c>
      <c r="P32" s="98">
        <f>SUM(D32:O32)</f>
        <v/>
      </c>
    </row>
    <row r="33" ht="18" customHeight="1">
      <c r="C33" s="83" t="inlineStr">
        <is>
          <t xml:space="preserve">    Alimentaire</t>
        </is>
      </c>
      <c r="D33" s="97" t="n">
        <v>0</v>
      </c>
      <c r="E33" s="97" t="n">
        <v>0</v>
      </c>
      <c r="F33" s="97" t="n">
        <v>0</v>
      </c>
      <c r="G33" s="97" t="n">
        <v>0</v>
      </c>
      <c r="H33" s="97" t="n">
        <v>0</v>
      </c>
      <c r="I33" s="97" t="n">
        <v>0</v>
      </c>
      <c r="J33" s="97" t="n">
        <v>0</v>
      </c>
      <c r="K33" s="97" t="n">
        <v>0</v>
      </c>
      <c r="L33" s="97" t="n">
        <v>0</v>
      </c>
      <c r="M33" s="97" t="n">
        <v>0</v>
      </c>
      <c r="N33" s="97" t="n">
        <v>0</v>
      </c>
      <c r="O33" s="97" t="n">
        <v>0</v>
      </c>
      <c r="P33" s="98">
        <f>SUM(D33:O33)</f>
        <v/>
      </c>
    </row>
    <row r="34" ht="18" customHeight="1">
      <c r="C34" s="72" t="inlineStr">
        <is>
          <t xml:space="preserve">    Assurance</t>
        </is>
      </c>
      <c r="D34" s="97" t="n">
        <v>0</v>
      </c>
      <c r="E34" s="97" t="n">
        <v>0</v>
      </c>
      <c r="F34" s="97" t="n">
        <v>0</v>
      </c>
      <c r="G34" s="97" t="n">
        <v>0</v>
      </c>
      <c r="H34" s="97" t="n">
        <v>0</v>
      </c>
      <c r="I34" s="97" t="n">
        <v>0</v>
      </c>
      <c r="J34" s="97" t="n">
        <v>0</v>
      </c>
      <c r="K34" s="97" t="n">
        <v>0</v>
      </c>
      <c r="L34" s="97" t="n">
        <v>0</v>
      </c>
      <c r="M34" s="97" t="n">
        <v>0</v>
      </c>
      <c r="N34" s="97" t="n">
        <v>0</v>
      </c>
      <c r="O34" s="97" t="n">
        <v>0</v>
      </c>
      <c r="P34" s="98">
        <f>SUM(D34:O34)</f>
        <v/>
      </c>
    </row>
    <row r="35" ht="18" customHeight="1">
      <c r="C35" s="83" t="inlineStr">
        <is>
          <t xml:space="preserve">    Bureaux</t>
        </is>
      </c>
      <c r="D35" s="97" t="n">
        <v>0</v>
      </c>
      <c r="E35" s="97" t="n">
        <v>0</v>
      </c>
      <c r="F35" s="97" t="n">
        <v>0</v>
      </c>
      <c r="G35" s="97" t="n">
        <v>0</v>
      </c>
      <c r="H35" s="97" t="n">
        <v>0</v>
      </c>
      <c r="I35" s="97" t="n">
        <v>0</v>
      </c>
      <c r="J35" s="97" t="n">
        <v>0</v>
      </c>
      <c r="K35" s="97" t="n">
        <v>0</v>
      </c>
      <c r="L35" s="97" t="n">
        <v>0</v>
      </c>
      <c r="M35" s="97" t="n">
        <v>0</v>
      </c>
      <c r="N35" s="97" t="n">
        <v>0</v>
      </c>
      <c r="O35" s="97" t="n">
        <v>0</v>
      </c>
      <c r="P35" s="98">
        <f>SUM(D35:O35)</f>
        <v/>
      </c>
    </row>
    <row r="36" ht="18" customHeight="1">
      <c r="C36" s="72" t="inlineStr">
        <is>
          <t xml:space="preserve">    Cadeaux et bons d'achat</t>
        </is>
      </c>
      <c r="D36" s="97" t="n">
        <v>0</v>
      </c>
      <c r="E36" s="97" t="n">
        <v>0</v>
      </c>
      <c r="F36" s="97" t="n">
        <v>0</v>
      </c>
      <c r="G36" s="97" t="n">
        <v>0</v>
      </c>
      <c r="H36" s="97" t="n">
        <v>0</v>
      </c>
      <c r="I36" s="97" t="n">
        <v>0</v>
      </c>
      <c r="J36" s="97" t="n">
        <v>0</v>
      </c>
      <c r="K36" s="97" t="n">
        <v>0</v>
      </c>
      <c r="L36" s="97" t="n">
        <v>0</v>
      </c>
      <c r="M36" s="97" t="n">
        <v>0</v>
      </c>
      <c r="N36" s="97" t="n">
        <v>0</v>
      </c>
      <c r="O36" s="97" t="n">
        <v>0</v>
      </c>
      <c r="P36" s="98">
        <f>SUM(D36:O36)</f>
        <v/>
      </c>
    </row>
    <row r="37" ht="18" customHeight="1">
      <c r="C37" s="99" t="inlineStr">
        <is>
          <t xml:space="preserve">        Chèques CADHOC</t>
        </is>
      </c>
      <c r="D37" s="97" t="n">
        <v>0</v>
      </c>
      <c r="E37" s="97" t="n">
        <v>0</v>
      </c>
      <c r="F37" s="97" t="n">
        <v>0</v>
      </c>
      <c r="G37" s="97" t="n">
        <v>0</v>
      </c>
      <c r="H37" s="97" t="n">
        <v>0</v>
      </c>
      <c r="I37" s="97" t="n">
        <v>0</v>
      </c>
      <c r="J37" s="97" t="n">
        <v>0</v>
      </c>
      <c r="K37" s="97" t="n">
        <v>0</v>
      </c>
      <c r="L37" s="97" t="n">
        <v>0</v>
      </c>
      <c r="M37" s="97" t="n">
        <v>0</v>
      </c>
      <c r="N37" s="97" t="n">
        <v>0</v>
      </c>
      <c r="O37" s="97" t="n">
        <v>0</v>
      </c>
      <c r="P37" s="98">
        <f>SUM(D37:O37)</f>
        <v/>
      </c>
    </row>
    <row r="38" ht="18" customHeight="1">
      <c r="C38" s="72" t="inlineStr">
        <is>
          <t xml:space="preserve">    Chèques-vacances</t>
        </is>
      </c>
      <c r="D38" s="97" t="n">
        <v>0</v>
      </c>
      <c r="E38" s="97" t="n">
        <v>0</v>
      </c>
      <c r="F38" s="97" t="n">
        <v>0</v>
      </c>
      <c r="G38" s="97" t="n">
        <v>0</v>
      </c>
      <c r="H38" s="97" t="n">
        <v>0</v>
      </c>
      <c r="I38" s="97" t="n">
        <v>0</v>
      </c>
      <c r="J38" s="97" t="n">
        <v>0</v>
      </c>
      <c r="K38" s="97" t="n">
        <v>0</v>
      </c>
      <c r="L38" s="97" t="n">
        <v>0</v>
      </c>
      <c r="M38" s="97" t="n">
        <v>0</v>
      </c>
      <c r="N38" s="97" t="n">
        <v>0</v>
      </c>
      <c r="O38" s="97" t="n">
        <v>0</v>
      </c>
      <c r="P38" s="98">
        <f>SUM(D38:O38)</f>
        <v/>
      </c>
    </row>
    <row r="39" ht="18" customHeight="1">
      <c r="C39" s="99" t="inlineStr">
        <is>
          <t xml:space="preserve">        ANCV</t>
        </is>
      </c>
      <c r="D39" s="97" t="n">
        <v>0</v>
      </c>
      <c r="E39" s="97" t="n">
        <v>0</v>
      </c>
      <c r="F39" s="97" t="n">
        <v>0</v>
      </c>
      <c r="G39" s="97" t="n">
        <v>0</v>
      </c>
      <c r="H39" s="97" t="n">
        <v>0</v>
      </c>
      <c r="I39" s="97" t="n">
        <v>0</v>
      </c>
      <c r="J39" s="97" t="n">
        <v>0</v>
      </c>
      <c r="K39" s="97" t="n">
        <v>0</v>
      </c>
      <c r="L39" s="97" t="n">
        <v>0</v>
      </c>
      <c r="M39" s="97" t="n">
        <v>0</v>
      </c>
      <c r="N39" s="97" t="n">
        <v>0</v>
      </c>
      <c r="O39" s="97" t="n">
        <v>0</v>
      </c>
      <c r="P39" s="98">
        <f>SUM(D39:O39)</f>
        <v/>
      </c>
    </row>
    <row r="40" ht="18" customHeight="1">
      <c r="C40" s="72" t="inlineStr">
        <is>
          <t xml:space="preserve">    Déplacements</t>
        </is>
      </c>
      <c r="D40" s="97" t="n">
        <v>0</v>
      </c>
      <c r="E40" s="97" t="n">
        <v>0</v>
      </c>
      <c r="F40" s="97" t="n">
        <v>0</v>
      </c>
      <c r="G40" s="97" t="n">
        <v>0</v>
      </c>
      <c r="H40" s="97" t="n">
        <v>0</v>
      </c>
      <c r="I40" s="97" t="n">
        <v>0</v>
      </c>
      <c r="J40" s="97" t="n">
        <v>0</v>
      </c>
      <c r="K40" s="97" t="n">
        <v>0</v>
      </c>
      <c r="L40" s="97" t="n">
        <v>0</v>
      </c>
      <c r="M40" s="97" t="n">
        <v>0</v>
      </c>
      <c r="N40" s="97" t="n">
        <v>0</v>
      </c>
      <c r="O40" s="97" t="n">
        <v>0</v>
      </c>
      <c r="P40" s="98">
        <f>SUM(D40:O40)</f>
        <v/>
      </c>
    </row>
    <row r="41" ht="18" customHeight="1">
      <c r="C41" s="83" t="inlineStr">
        <is>
          <t xml:space="preserve">    Finance &amp; Compta</t>
        </is>
      </c>
      <c r="D41" s="97" t="n">
        <v>0</v>
      </c>
      <c r="E41" s="97" t="n">
        <v>0</v>
      </c>
      <c r="F41" s="97" t="n">
        <v>0</v>
      </c>
      <c r="G41" s="97" t="n">
        <v>0</v>
      </c>
      <c r="H41" s="97" t="n">
        <v>0</v>
      </c>
      <c r="I41" s="97" t="n">
        <v>0</v>
      </c>
      <c r="J41" s="97" t="n">
        <v>0</v>
      </c>
      <c r="K41" s="97" t="n">
        <v>0</v>
      </c>
      <c r="L41" s="97" t="n">
        <v>0</v>
      </c>
      <c r="M41" s="97" t="n">
        <v>0</v>
      </c>
      <c r="N41" s="97" t="n">
        <v>0</v>
      </c>
      <c r="O41" s="97" t="n">
        <v>0</v>
      </c>
      <c r="P41" s="98">
        <f>SUM(D41:O41)</f>
        <v/>
      </c>
    </row>
    <row r="42" ht="18" customHeight="1">
      <c r="C42" s="72" t="inlineStr">
        <is>
          <t xml:space="preserve">    Frais bancaires</t>
        </is>
      </c>
      <c r="D42" s="97" t="n">
        <v>0</v>
      </c>
      <c r="E42" s="97" t="n">
        <v>0</v>
      </c>
      <c r="F42" s="97" t="n">
        <v>0</v>
      </c>
      <c r="G42" s="97" t="n">
        <v>0</v>
      </c>
      <c r="H42" s="97" t="n">
        <v>0</v>
      </c>
      <c r="I42" s="97" t="n">
        <v>0</v>
      </c>
      <c r="J42" s="97" t="n">
        <v>0</v>
      </c>
      <c r="K42" s="97" t="n">
        <v>0</v>
      </c>
      <c r="L42" s="97" t="n">
        <v>0</v>
      </c>
      <c r="M42" s="97" t="n">
        <v>0</v>
      </c>
      <c r="N42" s="97" t="n">
        <v>0</v>
      </c>
      <c r="O42" s="97" t="n">
        <v>0</v>
      </c>
      <c r="P42" s="98">
        <f>SUM(D42:O42)</f>
        <v/>
      </c>
    </row>
    <row r="43" ht="18" customHeight="1">
      <c r="C43" s="83" t="inlineStr">
        <is>
          <t xml:space="preserve">    Juridique</t>
        </is>
      </c>
      <c r="D43" s="97" t="n">
        <v>0</v>
      </c>
      <c r="E43" s="97" t="n">
        <v>0</v>
      </c>
      <c r="F43" s="97" t="n">
        <v>0</v>
      </c>
      <c r="G43" s="97" t="n">
        <v>0</v>
      </c>
      <c r="H43" s="97" t="n">
        <v>0</v>
      </c>
      <c r="I43" s="97" t="n">
        <v>0</v>
      </c>
      <c r="J43" s="97" t="n">
        <v>0</v>
      </c>
      <c r="K43" s="97" t="n">
        <v>0</v>
      </c>
      <c r="L43" s="97" t="n">
        <v>0</v>
      </c>
      <c r="M43" s="97" t="n">
        <v>0</v>
      </c>
      <c r="N43" s="97" t="n">
        <v>0</v>
      </c>
      <c r="O43" s="97" t="n">
        <v>0</v>
      </c>
      <c r="P43" s="98">
        <f>SUM(D43:O43)</f>
        <v/>
      </c>
    </row>
    <row r="44" ht="18" customHeight="1">
      <c r="C44" s="72" t="inlineStr">
        <is>
          <t xml:space="preserve">    Logiciels &amp; Services Web</t>
        </is>
      </c>
      <c r="D44" s="97" t="n">
        <v>0</v>
      </c>
      <c r="E44" s="97" t="n">
        <v>0</v>
      </c>
      <c r="F44" s="97" t="n">
        <v>0</v>
      </c>
      <c r="G44" s="97" t="n">
        <v>0</v>
      </c>
      <c r="H44" s="97" t="n">
        <v>0</v>
      </c>
      <c r="I44" s="97" t="n">
        <v>0</v>
      </c>
      <c r="J44" s="97" t="n">
        <v>0</v>
      </c>
      <c r="K44" s="97" t="n">
        <v>0</v>
      </c>
      <c r="L44" s="97" t="n">
        <v>0</v>
      </c>
      <c r="M44" s="97" t="n">
        <v>0</v>
      </c>
      <c r="N44" s="97" t="n">
        <v>0</v>
      </c>
      <c r="O44" s="97" t="n">
        <v>0</v>
      </c>
      <c r="P44" s="98">
        <f>SUM(D44:O44)</f>
        <v/>
      </c>
    </row>
    <row r="45" ht="18" customHeight="1">
      <c r="C45" s="83" t="inlineStr">
        <is>
          <t xml:space="preserve">    Logistique</t>
        </is>
      </c>
      <c r="D45" s="97" t="n">
        <v>0</v>
      </c>
      <c r="E45" s="97" t="n">
        <v>0</v>
      </c>
      <c r="F45" s="97" t="n">
        <v>0</v>
      </c>
      <c r="G45" s="97" t="n">
        <v>0</v>
      </c>
      <c r="H45" s="97" t="n">
        <v>0</v>
      </c>
      <c r="I45" s="97" t="n">
        <v>0</v>
      </c>
      <c r="J45" s="97" t="n">
        <v>0</v>
      </c>
      <c r="K45" s="97" t="n">
        <v>0</v>
      </c>
      <c r="L45" s="97" t="n">
        <v>0</v>
      </c>
      <c r="M45" s="97" t="n">
        <v>0</v>
      </c>
      <c r="N45" s="97" t="n">
        <v>0</v>
      </c>
      <c r="O45" s="97" t="n">
        <v>0</v>
      </c>
      <c r="P45" s="98">
        <f>SUM(D45:O45)</f>
        <v/>
      </c>
    </row>
    <row r="46" ht="18" customHeight="1">
      <c r="C46" s="72" t="inlineStr">
        <is>
          <t xml:space="preserve">    Loyers</t>
        </is>
      </c>
      <c r="D46" s="97" t="n">
        <v>0</v>
      </c>
      <c r="E46" s="97" t="n">
        <v>0</v>
      </c>
      <c r="F46" s="97" t="n">
        <v>0</v>
      </c>
      <c r="G46" s="97" t="n">
        <v>0</v>
      </c>
      <c r="H46" s="97" t="n">
        <v>0</v>
      </c>
      <c r="I46" s="97" t="n">
        <v>0</v>
      </c>
      <c r="J46" s="97" t="n">
        <v>0</v>
      </c>
      <c r="K46" s="97" t="n">
        <v>0</v>
      </c>
      <c r="L46" s="97" t="n">
        <v>0</v>
      </c>
      <c r="M46" s="97" t="n">
        <v>0</v>
      </c>
      <c r="N46" s="97" t="n">
        <v>0</v>
      </c>
      <c r="O46" s="97" t="n">
        <v>0</v>
      </c>
      <c r="P46" s="98">
        <f>SUM(D46:O46)</f>
        <v/>
      </c>
    </row>
    <row r="47" ht="18" customHeight="1">
      <c r="C47" s="83" t="inlineStr">
        <is>
          <t xml:space="preserve">    Ordinateurs &amp; Équipements</t>
        </is>
      </c>
      <c r="D47" s="97" t="n">
        <v>0</v>
      </c>
      <c r="E47" s="97" t="n">
        <v>0</v>
      </c>
      <c r="F47" s="97" t="n">
        <v>0</v>
      </c>
      <c r="G47" s="97" t="n">
        <v>0</v>
      </c>
      <c r="H47" s="97" t="n">
        <v>0</v>
      </c>
      <c r="I47" s="97" t="n">
        <v>0</v>
      </c>
      <c r="J47" s="97" t="n">
        <v>0</v>
      </c>
      <c r="K47" s="97" t="n">
        <v>0</v>
      </c>
      <c r="L47" s="97" t="n">
        <v>0</v>
      </c>
      <c r="M47" s="97" t="n">
        <v>0</v>
      </c>
      <c r="N47" s="97" t="n">
        <v>0</v>
      </c>
      <c r="O47" s="97" t="n">
        <v>0</v>
      </c>
      <c r="P47" s="98">
        <f>SUM(D47:O47)</f>
        <v/>
      </c>
    </row>
    <row r="48" ht="18" customHeight="1">
      <c r="C48" s="100" t="inlineStr">
        <is>
          <t xml:space="preserve">        Remboursement élus matériel 2025</t>
        </is>
      </c>
      <c r="D48" s="97" t="n">
        <v>0</v>
      </c>
      <c r="E48" s="97" t="n">
        <v>0</v>
      </c>
      <c r="F48" s="97" t="n">
        <v>0</v>
      </c>
      <c r="G48" s="97" t="n">
        <v>0</v>
      </c>
      <c r="H48" s="97" t="n">
        <v>0</v>
      </c>
      <c r="I48" s="97" t="n">
        <v>0</v>
      </c>
      <c r="J48" s="97" t="n">
        <v>0</v>
      </c>
      <c r="K48" s="97" t="n">
        <v>0</v>
      </c>
      <c r="L48" s="97" t="n">
        <v>0</v>
      </c>
      <c r="M48" s="97" t="n">
        <v>0</v>
      </c>
      <c r="N48" s="97" t="n">
        <v>0</v>
      </c>
      <c r="O48" s="97" t="n">
        <v>0</v>
      </c>
      <c r="P48" s="98">
        <f>SUM(D48:O48)</f>
        <v/>
      </c>
    </row>
    <row r="49" ht="18" customHeight="1">
      <c r="C49" s="83" t="inlineStr">
        <is>
          <t xml:space="preserve">    Restauration</t>
        </is>
      </c>
      <c r="D49" s="97" t="n">
        <v>0</v>
      </c>
      <c r="E49" s="97" t="n">
        <v>0</v>
      </c>
      <c r="F49" s="97" t="n">
        <v>0</v>
      </c>
      <c r="G49" s="97" t="n">
        <v>0</v>
      </c>
      <c r="H49" s="97" t="n">
        <v>0</v>
      </c>
      <c r="I49" s="97" t="n">
        <v>0</v>
      </c>
      <c r="J49" s="97" t="n">
        <v>0</v>
      </c>
      <c r="K49" s="97" t="n">
        <v>0</v>
      </c>
      <c r="L49" s="97" t="n">
        <v>0</v>
      </c>
      <c r="M49" s="97" t="n">
        <v>0</v>
      </c>
      <c r="N49" s="97" t="n">
        <v>0</v>
      </c>
      <c r="O49" s="97" t="n">
        <v>0</v>
      </c>
      <c r="P49" s="98">
        <f>SUM(D49:O49)</f>
        <v/>
      </c>
    </row>
    <row r="50" ht="18" customHeight="1">
      <c r="C50" s="72" t="inlineStr">
        <is>
          <t xml:space="preserve">    Revenu</t>
        </is>
      </c>
      <c r="D50" s="97" t="n">
        <v>0</v>
      </c>
      <c r="E50" s="97" t="n">
        <v>0</v>
      </c>
      <c r="F50" s="97" t="n">
        <v>0</v>
      </c>
      <c r="G50" s="97" t="n">
        <v>0</v>
      </c>
      <c r="H50" s="97" t="n">
        <v>0</v>
      </c>
      <c r="I50" s="97" t="n">
        <v>0</v>
      </c>
      <c r="J50" s="97" t="n">
        <v>0</v>
      </c>
      <c r="K50" s="97" t="n">
        <v>0</v>
      </c>
      <c r="L50" s="97" t="n">
        <v>0</v>
      </c>
      <c r="M50" s="97" t="n">
        <v>0</v>
      </c>
      <c r="N50" s="97" t="n">
        <v>0</v>
      </c>
      <c r="O50" s="97" t="n">
        <v>0</v>
      </c>
      <c r="P50" s="98">
        <f>SUM(D50:O50)</f>
        <v/>
      </c>
    </row>
    <row r="51" ht="18" customHeight="1">
      <c r="C51" s="83" t="inlineStr">
        <is>
          <t xml:space="preserve">    Salaires</t>
        </is>
      </c>
      <c r="D51" s="97" t="n">
        <v>0</v>
      </c>
      <c r="E51" s="97" t="n">
        <v>0</v>
      </c>
      <c r="F51" s="97" t="n">
        <v>0</v>
      </c>
      <c r="G51" s="97" t="n">
        <v>0</v>
      </c>
      <c r="H51" s="97" t="n">
        <v>0</v>
      </c>
      <c r="I51" s="97" t="n">
        <v>0</v>
      </c>
      <c r="J51" s="97" t="n">
        <v>0</v>
      </c>
      <c r="K51" s="97" t="n">
        <v>0</v>
      </c>
      <c r="L51" s="97" t="n">
        <v>0</v>
      </c>
      <c r="M51" s="97" t="n">
        <v>0</v>
      </c>
      <c r="N51" s="97" t="n">
        <v>0</v>
      </c>
      <c r="O51" s="97" t="n">
        <v>0</v>
      </c>
      <c r="P51" s="98">
        <f>SUM(D51:O51)</f>
        <v/>
      </c>
    </row>
    <row r="52" ht="18" customHeight="1">
      <c r="C52" s="72" t="inlineStr">
        <is>
          <t xml:space="preserve">    Sous-traitance &amp; Prestations</t>
        </is>
      </c>
      <c r="D52" s="97" t="n">
        <v>0</v>
      </c>
      <c r="E52" s="97" t="n">
        <v>0</v>
      </c>
      <c r="F52" s="97" t="n">
        <v>0</v>
      </c>
      <c r="G52" s="97" t="n">
        <v>0</v>
      </c>
      <c r="H52" s="97" t="n">
        <v>0</v>
      </c>
      <c r="I52" s="97" t="n">
        <v>0</v>
      </c>
      <c r="J52" s="97" t="n">
        <v>0</v>
      </c>
      <c r="K52" s="97" t="n">
        <v>0</v>
      </c>
      <c r="L52" s="97" t="n">
        <v>0</v>
      </c>
      <c r="M52" s="97" t="n">
        <v>0</v>
      </c>
      <c r="N52" s="97" t="n">
        <v>0</v>
      </c>
      <c r="O52" s="97" t="n">
        <v>0</v>
      </c>
      <c r="P52" s="98">
        <f>SUM(D52:O52)</f>
        <v/>
      </c>
    </row>
    <row r="53" ht="18" customHeight="1">
      <c r="C53" s="83" t="inlineStr">
        <is>
          <t xml:space="preserve">    Subventions employeur</t>
        </is>
      </c>
      <c r="D53" s="97" t="n">
        <v>0</v>
      </c>
      <c r="E53" s="97" t="n">
        <v>0</v>
      </c>
      <c r="F53" s="97" t="n">
        <v>0</v>
      </c>
      <c r="G53" s="97" t="n">
        <v>0</v>
      </c>
      <c r="H53" s="97" t="n">
        <v>0</v>
      </c>
      <c r="I53" s="97" t="n">
        <v>0</v>
      </c>
      <c r="J53" s="97" t="n">
        <v>0</v>
      </c>
      <c r="K53" s="97" t="n">
        <v>0</v>
      </c>
      <c r="L53" s="97" t="n">
        <v>0</v>
      </c>
      <c r="M53" s="97" t="n">
        <v>0</v>
      </c>
      <c r="N53" s="97" t="n">
        <v>0</v>
      </c>
      <c r="O53" s="97" t="n">
        <v>0</v>
      </c>
      <c r="P53" s="98">
        <f>SUM(D53:O53)</f>
        <v/>
      </c>
    </row>
    <row r="54" ht="18" customHeight="1">
      <c r="C54" s="72" t="inlineStr">
        <is>
          <t xml:space="preserve">    Téléphone &amp; Internet</t>
        </is>
      </c>
      <c r="D54" s="97" t="n">
        <v>0</v>
      </c>
      <c r="E54" s="97" t="n">
        <v>0</v>
      </c>
      <c r="F54" s="97" t="n">
        <v>0</v>
      </c>
      <c r="G54" s="97" t="n">
        <v>0</v>
      </c>
      <c r="H54" s="97" t="n">
        <v>0</v>
      </c>
      <c r="I54" s="97" t="n">
        <v>0</v>
      </c>
      <c r="J54" s="97" t="n">
        <v>0</v>
      </c>
      <c r="K54" s="97" t="n">
        <v>0</v>
      </c>
      <c r="L54" s="97" t="n">
        <v>0</v>
      </c>
      <c r="M54" s="97" t="n">
        <v>0</v>
      </c>
      <c r="N54" s="97" t="n">
        <v>0</v>
      </c>
      <c r="O54" s="97" t="n">
        <v>0</v>
      </c>
      <c r="P54" s="98">
        <f>SUM(D54:O54)</f>
        <v/>
      </c>
    </row>
    <row r="55" ht="18" customHeight="1">
      <c r="C55" s="83" t="inlineStr">
        <is>
          <t xml:space="preserve">    Virements internes</t>
        </is>
      </c>
      <c r="D55" s="97" t="n">
        <v>0</v>
      </c>
      <c r="E55" s="97" t="n">
        <v>0</v>
      </c>
      <c r="F55" s="97" t="n">
        <v>0</v>
      </c>
      <c r="G55" s="97" t="n">
        <v>0</v>
      </c>
      <c r="H55" s="97" t="n">
        <v>0</v>
      </c>
      <c r="I55" s="97" t="n">
        <v>0</v>
      </c>
      <c r="J55" s="97" t="n">
        <v>0</v>
      </c>
      <c r="K55" s="97" t="n">
        <v>0</v>
      </c>
      <c r="L55" s="97" t="n">
        <v>0</v>
      </c>
      <c r="M55" s="97" t="n">
        <v>0</v>
      </c>
      <c r="N55" s="97" t="n">
        <v>0</v>
      </c>
      <c r="O55" s="97" t="n">
        <v>0</v>
      </c>
      <c r="P55" s="98">
        <f>SUM(D55:O55)</f>
        <v/>
      </c>
    </row>
    <row r="56" ht="18" customHeight="1">
      <c r="C56" s="72" t="inlineStr">
        <is>
          <t xml:space="preserve">    Frais postaux</t>
        </is>
      </c>
      <c r="D56" s="97" t="n">
        <v>0</v>
      </c>
      <c r="E56" s="97" t="n">
        <v>0</v>
      </c>
      <c r="F56" s="97" t="n">
        <v>0</v>
      </c>
      <c r="G56" s="97" t="n">
        <v>0</v>
      </c>
      <c r="H56" s="97" t="n">
        <v>0</v>
      </c>
      <c r="I56" s="97" t="n">
        <v>0</v>
      </c>
      <c r="J56" s="97" t="n">
        <v>0</v>
      </c>
      <c r="K56" s="97" t="n">
        <v>0</v>
      </c>
      <c r="L56" s="97" t="n">
        <v>0</v>
      </c>
      <c r="M56" s="97" t="n">
        <v>0</v>
      </c>
      <c r="N56" s="97" t="n">
        <v>0</v>
      </c>
      <c r="O56" s="97" t="n">
        <v>0</v>
      </c>
      <c r="P56" s="98">
        <f>SUM(D56:O56)</f>
        <v/>
      </c>
    </row>
    <row r="57" ht="18" customHeight="1">
      <c r="C57" s="83" t="inlineStr">
        <is>
          <t xml:space="preserve">    Formation des élus</t>
        </is>
      </c>
      <c r="D57" s="97" t="n">
        <v>0</v>
      </c>
      <c r="E57" s="97" t="n">
        <v>0</v>
      </c>
      <c r="F57" s="97" t="n">
        <v>0</v>
      </c>
      <c r="G57" s="97" t="n">
        <v>0</v>
      </c>
      <c r="H57" s="97" t="n">
        <v>0</v>
      </c>
      <c r="I57" s="97" t="n">
        <v>0</v>
      </c>
      <c r="J57" s="97" t="n">
        <v>0</v>
      </c>
      <c r="K57" s="97" t="n">
        <v>0</v>
      </c>
      <c r="L57" s="97" t="n">
        <v>0</v>
      </c>
      <c r="M57" s="97" t="n">
        <v>0</v>
      </c>
      <c r="N57" s="97" t="n">
        <v>0</v>
      </c>
      <c r="O57" s="97" t="n">
        <v>0</v>
      </c>
      <c r="P57" s="98">
        <f>SUM(D57:O57)</f>
        <v/>
      </c>
    </row>
    <row r="58" ht="18" customHeight="1">
      <c r="C58" s="72" t="inlineStr">
        <is>
          <t xml:space="preserve">    Sorties non catégorisées</t>
        </is>
      </c>
      <c r="D58" s="97" t="n">
        <v>0</v>
      </c>
      <c r="E58" s="97" t="n">
        <v>0</v>
      </c>
      <c r="F58" s="97" t="n">
        <v>0</v>
      </c>
      <c r="G58" s="97" t="n">
        <v>0</v>
      </c>
      <c r="H58" s="97" t="n">
        <v>0</v>
      </c>
      <c r="I58" s="97" t="n">
        <v>0</v>
      </c>
      <c r="J58" s="97" t="n">
        <v>0</v>
      </c>
      <c r="K58" s="97" t="n">
        <v>0</v>
      </c>
      <c r="L58" s="97" t="n">
        <v>0</v>
      </c>
      <c r="M58" s="97" t="n">
        <v>0</v>
      </c>
      <c r="N58" s="97" t="n">
        <v>0</v>
      </c>
      <c r="O58" s="97" t="n">
        <v>0</v>
      </c>
      <c r="P58" s="98">
        <f>SUM(D58:O58)</f>
        <v/>
      </c>
    </row>
    <row r="59" ht="18" customHeight="1">
      <c r="C59" s="83" t="inlineStr">
        <is>
          <t xml:space="preserve">    Paiement TVA</t>
        </is>
      </c>
      <c r="D59" s="97" t="n">
        <v>0</v>
      </c>
      <c r="E59" s="97" t="n">
        <v>0</v>
      </c>
      <c r="F59" s="97" t="n">
        <v>0</v>
      </c>
      <c r="G59" s="97" t="n">
        <v>0</v>
      </c>
      <c r="H59" s="97" t="n">
        <v>0</v>
      </c>
      <c r="I59" s="97" t="n">
        <v>0</v>
      </c>
      <c r="J59" s="97" t="n">
        <v>0</v>
      </c>
      <c r="K59" s="97" t="n">
        <v>0</v>
      </c>
      <c r="L59" s="97" t="n">
        <v>0</v>
      </c>
      <c r="M59" s="97" t="n">
        <v>0</v>
      </c>
      <c r="N59" s="97" t="n">
        <v>0</v>
      </c>
      <c r="O59" s="97" t="n">
        <v>0</v>
      </c>
      <c r="P59" s="98">
        <f>SUM(D59:O59)</f>
        <v/>
      </c>
    </row>
    <row r="60" ht="18" customHeight="1">
      <c r="C60" s="90" t="inlineStr">
        <is>
          <t>Trésorerie fin de mois</t>
        </is>
      </c>
      <c r="D60" s="91" t="inlineStr"/>
      <c r="E60" s="91" t="inlineStr"/>
      <c r="F60" s="91" t="inlineStr"/>
      <c r="G60" s="91" t="inlineStr"/>
      <c r="H60" s="91" t="inlineStr"/>
      <c r="I60" s="91" t="inlineStr"/>
      <c r="J60" s="91" t="inlineStr"/>
      <c r="K60" s="91" t="inlineStr"/>
      <c r="L60" s="91" t="inlineStr"/>
      <c r="M60" s="91" t="inlineStr"/>
      <c r="N60" s="91" t="inlineStr"/>
      <c r="O60" s="91" t="inlineStr"/>
      <c r="P60" s="92" t="inlineStr"/>
    </row>
    <row r="62" ht="16" customHeight="1">
      <c r="C62" s="101" t="inlineStr">
        <is>
          <t>🔵 Cellules bleues = budget à saisir  |  🟡 Cellules jaunes = budget pré-rempli depuis Pennylane</t>
        </is>
      </c>
    </row>
  </sheetData>
  <mergeCells count="3">
    <mergeCell ref="C2:P2"/>
    <mergeCell ref="C62:F62"/>
    <mergeCell ref="C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P6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C1" s="102" t="inlineStr">
        <is>
          <t>📥  DONNÉES RÉALISÉES — Import Pennylane | CSE LIDL ENTZHEIM</t>
        </is>
      </c>
    </row>
    <row r="2" ht="20" customHeight="1">
      <c r="C2" s="5" t="inlineStr">
        <is>
          <t>Mettre à jour ce tableau chaque mois depuis Pennylane (Plan de trésorerie &gt; onglet Réalisé)</t>
        </is>
      </c>
    </row>
    <row r="3" ht="30" customHeight="1">
      <c r="C3" s="103" t="inlineStr">
        <is>
          <t>CATÉGORIE</t>
        </is>
      </c>
      <c r="D3" s="104" t="inlineStr">
        <is>
          <t>Mars 2026</t>
        </is>
      </c>
      <c r="E3" s="104" t="inlineStr">
        <is>
          <t>Avril 2026</t>
        </is>
      </c>
      <c r="F3" s="104" t="inlineStr">
        <is>
          <t>Mai 2026</t>
        </is>
      </c>
      <c r="G3" s="104" t="inlineStr">
        <is>
          <t>Juin 2026</t>
        </is>
      </c>
      <c r="H3" s="104" t="inlineStr">
        <is>
          <t>Juillet 2026</t>
        </is>
      </c>
      <c r="I3" s="104" t="inlineStr">
        <is>
          <t>Août 2026</t>
        </is>
      </c>
      <c r="J3" s="104" t="inlineStr">
        <is>
          <t>Septembre 2026</t>
        </is>
      </c>
      <c r="K3" s="104" t="inlineStr">
        <is>
          <t>Octobre 2026</t>
        </is>
      </c>
      <c r="L3" s="104" t="inlineStr">
        <is>
          <t>Novembre 2026</t>
        </is>
      </c>
      <c r="M3" s="104" t="inlineStr">
        <is>
          <t>Décembre 2026</t>
        </is>
      </c>
      <c r="N3" s="104" t="inlineStr">
        <is>
          <t>Janvier 2027</t>
        </is>
      </c>
      <c r="O3" s="104" t="inlineStr">
        <is>
          <t>Février 2027</t>
        </is>
      </c>
      <c r="P3" s="103" t="inlineStr">
        <is>
          <t>TOTAL</t>
        </is>
      </c>
    </row>
    <row r="4" ht="18" customHeight="1">
      <c r="C4" s="90" t="inlineStr">
        <is>
          <t>Trésorerie début de mois</t>
        </is>
      </c>
      <c r="D4" s="91" t="n">
        <v>518635.71</v>
      </c>
      <c r="E4" s="91" t="n">
        <v>506826.28</v>
      </c>
      <c r="F4" s="91" t="n">
        <v>514364.64</v>
      </c>
      <c r="G4" s="91" t="n">
        <v>470450.89</v>
      </c>
      <c r="H4" s="91" t="inlineStr"/>
      <c r="I4" s="91" t="inlineStr"/>
      <c r="J4" s="91" t="inlineStr"/>
      <c r="K4" s="91" t="inlineStr"/>
      <c r="L4" s="91" t="inlineStr"/>
      <c r="M4" s="91" t="inlineStr"/>
      <c r="N4" s="91" t="inlineStr"/>
      <c r="O4" s="91" t="inlineStr"/>
      <c r="P4" s="105">
        <f>SUM(D4:O4)</f>
        <v/>
      </c>
    </row>
    <row r="5" ht="18" customHeight="1">
      <c r="C5" s="67" t="inlineStr">
        <is>
          <t>ENTRÉES</t>
        </is>
      </c>
      <c r="D5" s="106" t="n">
        <v>0</v>
      </c>
      <c r="E5" s="106" t="n">
        <v>212.53</v>
      </c>
      <c r="F5" s="106" t="n">
        <v>1185.38</v>
      </c>
      <c r="G5" s="106" t="n">
        <v>110</v>
      </c>
      <c r="H5" s="106" t="inlineStr"/>
      <c r="I5" s="106" t="inlineStr"/>
      <c r="J5" s="106" t="inlineStr"/>
      <c r="K5" s="106" t="inlineStr"/>
      <c r="L5" s="106" t="inlineStr"/>
      <c r="M5" s="106" t="inlineStr"/>
      <c r="N5" s="106" t="inlineStr"/>
      <c r="O5" s="106" t="inlineStr"/>
      <c r="P5" s="107">
        <f>SUM(D5:O5)</f>
        <v/>
      </c>
    </row>
    <row r="6" ht="18" customHeight="1">
      <c r="C6" s="72" t="inlineStr">
        <is>
          <t xml:space="preserve">    Recette de la billetterie</t>
        </is>
      </c>
      <c r="D6" s="108" t="n">
        <v>0</v>
      </c>
      <c r="E6" s="108" t="n">
        <v>0</v>
      </c>
      <c r="F6" s="108" t="n">
        <v>0</v>
      </c>
      <c r="G6" s="108" t="n">
        <v>0</v>
      </c>
      <c r="H6" s="78" t="n">
        <v>0</v>
      </c>
      <c r="I6" s="78" t="n">
        <v>0</v>
      </c>
      <c r="J6" s="78" t="n">
        <v>0</v>
      </c>
      <c r="K6" s="78" t="n">
        <v>0</v>
      </c>
      <c r="L6" s="78" t="n">
        <v>0</v>
      </c>
      <c r="M6" s="78" t="n">
        <v>0</v>
      </c>
      <c r="N6" s="78" t="n">
        <v>0</v>
      </c>
      <c r="O6" s="78" t="n">
        <v>0</v>
      </c>
      <c r="P6" s="109">
        <f>SUM(D6:O6)</f>
        <v/>
      </c>
    </row>
    <row r="7" ht="18" customHeight="1">
      <c r="C7" s="79" t="inlineStr">
        <is>
          <t xml:space="preserve">        Rétrocession Commission - Machines à café</t>
        </is>
      </c>
      <c r="D7" s="108" t="n">
        <v>0</v>
      </c>
      <c r="E7" s="108" t="n">
        <v>0</v>
      </c>
      <c r="F7" s="108" t="n">
        <v>0</v>
      </c>
      <c r="G7" s="108" t="n">
        <v>0</v>
      </c>
      <c r="H7" s="78" t="n">
        <v>0</v>
      </c>
      <c r="I7" s="78" t="n">
        <v>0</v>
      </c>
      <c r="J7" s="78" t="n">
        <v>0</v>
      </c>
      <c r="K7" s="78" t="n">
        <v>0</v>
      </c>
      <c r="L7" s="78" t="n">
        <v>0</v>
      </c>
      <c r="M7" s="78" t="n">
        <v>0</v>
      </c>
      <c r="N7" s="78" t="n">
        <v>0</v>
      </c>
      <c r="O7" s="78" t="n">
        <v>0</v>
      </c>
      <c r="P7" s="109">
        <f>SUM(D7:O7)</f>
        <v/>
      </c>
    </row>
    <row r="8" ht="18" customHeight="1">
      <c r="C8" s="81" t="inlineStr">
        <is>
          <t xml:space="preserve">        Remboursements achats salariés</t>
        </is>
      </c>
      <c r="D8" s="108" t="n">
        <v>0</v>
      </c>
      <c r="E8" s="108" t="n">
        <v>0</v>
      </c>
      <c r="F8" s="108" t="n">
        <v>0</v>
      </c>
      <c r="G8" s="108" t="n">
        <v>0</v>
      </c>
      <c r="H8" s="78" t="n">
        <v>0</v>
      </c>
      <c r="I8" s="78" t="n">
        <v>0</v>
      </c>
      <c r="J8" s="78" t="n">
        <v>0</v>
      </c>
      <c r="K8" s="78" t="n">
        <v>0</v>
      </c>
      <c r="L8" s="78" t="n">
        <v>0</v>
      </c>
      <c r="M8" s="78" t="n">
        <v>0</v>
      </c>
      <c r="N8" s="78" t="n">
        <v>0</v>
      </c>
      <c r="O8" s="78" t="n">
        <v>0</v>
      </c>
      <c r="P8" s="109">
        <f>SUM(D8:O8)</f>
        <v/>
      </c>
    </row>
    <row r="9" ht="18" customHeight="1">
      <c r="C9" s="83" t="inlineStr">
        <is>
          <t xml:space="preserve">    Entrées non catégorisées</t>
        </is>
      </c>
      <c r="D9" s="108" t="n">
        <v>0</v>
      </c>
      <c r="E9" s="108" t="n">
        <v>212.53</v>
      </c>
      <c r="F9" s="108" t="n">
        <v>1185.38</v>
      </c>
      <c r="G9" s="108" t="n">
        <v>110</v>
      </c>
      <c r="H9" s="78" t="n">
        <v>0</v>
      </c>
      <c r="I9" s="78" t="n">
        <v>0</v>
      </c>
      <c r="J9" s="78" t="n">
        <v>0</v>
      </c>
      <c r="K9" s="78" t="n">
        <v>0</v>
      </c>
      <c r="L9" s="78" t="n">
        <v>0</v>
      </c>
      <c r="M9" s="78" t="n">
        <v>0</v>
      </c>
      <c r="N9" s="78" t="n">
        <v>0</v>
      </c>
      <c r="O9" s="78" t="n">
        <v>0</v>
      </c>
      <c r="P9" s="109">
        <f>SUM(D9:O9)</f>
        <v/>
      </c>
    </row>
    <row r="10" ht="18" customHeight="1">
      <c r="C10" s="72" t="inlineStr">
        <is>
          <t xml:space="preserve">    Remboursement de TVA</t>
        </is>
      </c>
      <c r="D10" s="108" t="n">
        <v>0</v>
      </c>
      <c r="E10" s="108" t="n">
        <v>0</v>
      </c>
      <c r="F10" s="108" t="n">
        <v>0</v>
      </c>
      <c r="G10" s="108" t="n">
        <v>0</v>
      </c>
      <c r="H10" s="78" t="n">
        <v>0</v>
      </c>
      <c r="I10" s="78" t="n">
        <v>0</v>
      </c>
      <c r="J10" s="78" t="n">
        <v>0</v>
      </c>
      <c r="K10" s="78" t="n">
        <v>0</v>
      </c>
      <c r="L10" s="78" t="n">
        <v>0</v>
      </c>
      <c r="M10" s="78" t="n">
        <v>0</v>
      </c>
      <c r="N10" s="78" t="n">
        <v>0</v>
      </c>
      <c r="O10" s="78" t="n">
        <v>0</v>
      </c>
      <c r="P10" s="109">
        <f>SUM(D10:O10)</f>
        <v/>
      </c>
    </row>
    <row r="11" ht="18" customHeight="1">
      <c r="C11" s="67" t="inlineStr">
        <is>
          <t>SORTIES</t>
        </is>
      </c>
      <c r="D11" s="106" t="n">
        <v>11809.43</v>
      </c>
      <c r="E11" s="106" t="n">
        <v>33744.49</v>
      </c>
      <c r="F11" s="106" t="n">
        <v>4028.81</v>
      </c>
      <c r="G11" s="106" t="n">
        <v>-1144.54</v>
      </c>
      <c r="H11" s="106" t="inlineStr"/>
      <c r="I11" s="106" t="inlineStr"/>
      <c r="J11" s="106" t="inlineStr"/>
      <c r="K11" s="106" t="inlineStr"/>
      <c r="L11" s="106" t="inlineStr"/>
      <c r="M11" s="106" t="inlineStr"/>
      <c r="N11" s="106" t="inlineStr"/>
      <c r="O11" s="106" t="inlineStr"/>
      <c r="P11" s="107">
        <f>SUM(D11:O11)</f>
        <v/>
      </c>
    </row>
    <row r="12" ht="18" customHeight="1">
      <c r="C12" s="72" t="inlineStr">
        <is>
          <t xml:space="preserve">    Achat Billets</t>
        </is>
      </c>
      <c r="D12" s="108" t="n">
        <v>-1797.98</v>
      </c>
      <c r="E12" s="108" t="n">
        <v>-19859.22</v>
      </c>
      <c r="F12" s="108" t="n">
        <v>-4255.27</v>
      </c>
      <c r="G12" s="108" t="n">
        <v>-5426.49</v>
      </c>
      <c r="H12" s="78" t="n">
        <v>0</v>
      </c>
      <c r="I12" s="78" t="n">
        <v>0</v>
      </c>
      <c r="J12" s="78" t="n">
        <v>0</v>
      </c>
      <c r="K12" s="78" t="n">
        <v>0</v>
      </c>
      <c r="L12" s="78" t="n">
        <v>0</v>
      </c>
      <c r="M12" s="78" t="n">
        <v>0</v>
      </c>
      <c r="N12" s="78" t="n">
        <v>0</v>
      </c>
      <c r="O12" s="78" t="n">
        <v>0</v>
      </c>
      <c r="P12" s="109">
        <f>SUM(D12:O12)</f>
        <v/>
      </c>
    </row>
    <row r="13" ht="18" customHeight="1">
      <c r="C13" s="79" t="inlineStr">
        <is>
          <t xml:space="preserve">        Europapark &amp; Rulantica</t>
        </is>
      </c>
      <c r="D13" s="108" t="n">
        <v>0</v>
      </c>
      <c r="E13" s="108" t="n">
        <v>0</v>
      </c>
      <c r="F13" s="108" t="n">
        <v>0</v>
      </c>
      <c r="G13" s="108" t="n">
        <v>0</v>
      </c>
      <c r="H13" s="78" t="n">
        <v>0</v>
      </c>
      <c r="I13" s="78" t="n">
        <v>0</v>
      </c>
      <c r="J13" s="78" t="n">
        <v>0</v>
      </c>
      <c r="K13" s="78" t="n">
        <v>0</v>
      </c>
      <c r="L13" s="78" t="n">
        <v>0</v>
      </c>
      <c r="M13" s="78" t="n">
        <v>0</v>
      </c>
      <c r="N13" s="78" t="n">
        <v>0</v>
      </c>
      <c r="O13" s="78" t="n">
        <v>0</v>
      </c>
      <c r="P13" s="109">
        <f>SUM(D13:O13)</f>
        <v/>
      </c>
    </row>
    <row r="14" ht="18" customHeight="1">
      <c r="C14" s="81" t="inlineStr">
        <is>
          <t xml:space="preserve">        Speedpark</t>
        </is>
      </c>
      <c r="D14" s="108" t="n">
        <v>0</v>
      </c>
      <c r="E14" s="108" t="n">
        <v>0</v>
      </c>
      <c r="F14" s="108" t="n">
        <v>0</v>
      </c>
      <c r="G14" s="108" t="n">
        <v>0</v>
      </c>
      <c r="H14" s="78" t="n">
        <v>0</v>
      </c>
      <c r="I14" s="78" t="n">
        <v>0</v>
      </c>
      <c r="J14" s="78" t="n">
        <v>0</v>
      </c>
      <c r="K14" s="78" t="n">
        <v>0</v>
      </c>
      <c r="L14" s="78" t="n">
        <v>0</v>
      </c>
      <c r="M14" s="78" t="n">
        <v>0</v>
      </c>
      <c r="N14" s="78" t="n">
        <v>0</v>
      </c>
      <c r="O14" s="78" t="n">
        <v>0</v>
      </c>
      <c r="P14" s="109">
        <f>SUM(D14:O14)</f>
        <v/>
      </c>
    </row>
    <row r="15" ht="18" customHeight="1">
      <c r="C15" s="79" t="inlineStr">
        <is>
          <t xml:space="preserve">        Saint-Croix</t>
        </is>
      </c>
      <c r="D15" s="108" t="n">
        <v>0</v>
      </c>
      <c r="E15" s="108" t="n">
        <v>0</v>
      </c>
      <c r="F15" s="108" t="n">
        <v>0</v>
      </c>
      <c r="G15" s="108" t="n">
        <v>0</v>
      </c>
      <c r="H15" s="78" t="n">
        <v>0</v>
      </c>
      <c r="I15" s="78" t="n">
        <v>0</v>
      </c>
      <c r="J15" s="78" t="n">
        <v>0</v>
      </c>
      <c r="K15" s="78" t="n">
        <v>0</v>
      </c>
      <c r="L15" s="78" t="n">
        <v>0</v>
      </c>
      <c r="M15" s="78" t="n">
        <v>0</v>
      </c>
      <c r="N15" s="78" t="n">
        <v>0</v>
      </c>
      <c r="O15" s="78" t="n">
        <v>0</v>
      </c>
      <c r="P15" s="109">
        <f>SUM(D15:O15)</f>
        <v/>
      </c>
    </row>
    <row r="16" ht="18" customHeight="1">
      <c r="C16" s="81" t="inlineStr">
        <is>
          <t xml:space="preserve">        Piscines</t>
        </is>
      </c>
      <c r="D16" s="108" t="n">
        <v>0</v>
      </c>
      <c r="E16" s="108" t="n">
        <v>0</v>
      </c>
      <c r="F16" s="108" t="n">
        <v>0</v>
      </c>
      <c r="G16" s="108" t="n">
        <v>0</v>
      </c>
      <c r="H16" s="78" t="n">
        <v>0</v>
      </c>
      <c r="I16" s="78" t="n">
        <v>0</v>
      </c>
      <c r="J16" s="78" t="n">
        <v>0</v>
      </c>
      <c r="K16" s="78" t="n">
        <v>0</v>
      </c>
      <c r="L16" s="78" t="n">
        <v>0</v>
      </c>
      <c r="M16" s="78" t="n">
        <v>0</v>
      </c>
      <c r="N16" s="78" t="n">
        <v>0</v>
      </c>
      <c r="O16" s="78" t="n">
        <v>0</v>
      </c>
      <c r="P16" s="109">
        <f>SUM(D16:O16)</f>
        <v/>
      </c>
    </row>
    <row r="17" ht="18" customHeight="1">
      <c r="C17" s="79" t="inlineStr">
        <is>
          <t xml:space="preserve">        Parc Amnéville</t>
        </is>
      </c>
      <c r="D17" s="108" t="n">
        <v>0</v>
      </c>
      <c r="E17" s="108" t="n">
        <v>0</v>
      </c>
      <c r="F17" s="108" t="n">
        <v>0</v>
      </c>
      <c r="G17" s="108" t="n">
        <v>0</v>
      </c>
      <c r="H17" s="78" t="n">
        <v>0</v>
      </c>
      <c r="I17" s="78" t="n">
        <v>0</v>
      </c>
      <c r="J17" s="78" t="n">
        <v>0</v>
      </c>
      <c r="K17" s="78" t="n">
        <v>0</v>
      </c>
      <c r="L17" s="78" t="n">
        <v>0</v>
      </c>
      <c r="M17" s="78" t="n">
        <v>0</v>
      </c>
      <c r="N17" s="78" t="n">
        <v>0</v>
      </c>
      <c r="O17" s="78" t="n">
        <v>0</v>
      </c>
      <c r="P17" s="109">
        <f>SUM(D17:O17)</f>
        <v/>
      </c>
    </row>
    <row r="18" ht="18" customHeight="1">
      <c r="C18" s="81" t="inlineStr">
        <is>
          <t xml:space="preserve">        Parc le petit prince</t>
        </is>
      </c>
      <c r="D18" s="108" t="n">
        <v>0</v>
      </c>
      <c r="E18" s="108" t="n">
        <v>0</v>
      </c>
      <c r="F18" s="108" t="n">
        <v>0</v>
      </c>
      <c r="G18" s="108" t="n">
        <v>0</v>
      </c>
      <c r="H18" s="78" t="n">
        <v>0</v>
      </c>
      <c r="I18" s="78" t="n">
        <v>0</v>
      </c>
      <c r="J18" s="78" t="n">
        <v>0</v>
      </c>
      <c r="K18" s="78" t="n">
        <v>0</v>
      </c>
      <c r="L18" s="78" t="n">
        <v>0</v>
      </c>
      <c r="M18" s="78" t="n">
        <v>0</v>
      </c>
      <c r="N18" s="78" t="n">
        <v>0</v>
      </c>
      <c r="O18" s="78" t="n">
        <v>0</v>
      </c>
      <c r="P18" s="109">
        <f>SUM(D18:O18)</f>
        <v/>
      </c>
    </row>
    <row r="19" ht="18" customHeight="1">
      <c r="C19" s="79" t="inlineStr">
        <is>
          <t xml:space="preserve">        Didiland</t>
        </is>
      </c>
      <c r="D19" s="108" t="n">
        <v>0</v>
      </c>
      <c r="E19" s="108" t="n">
        <v>0</v>
      </c>
      <c r="F19" s="108" t="n">
        <v>0</v>
      </c>
      <c r="G19" s="108" t="n">
        <v>0</v>
      </c>
      <c r="H19" s="78" t="n">
        <v>0</v>
      </c>
      <c r="I19" s="78" t="n">
        <v>0</v>
      </c>
      <c r="J19" s="78" t="n">
        <v>0</v>
      </c>
      <c r="K19" s="78" t="n">
        <v>0</v>
      </c>
      <c r="L19" s="78" t="n">
        <v>0</v>
      </c>
      <c r="M19" s="78" t="n">
        <v>0</v>
      </c>
      <c r="N19" s="78" t="n">
        <v>0</v>
      </c>
      <c r="O19" s="78" t="n">
        <v>0</v>
      </c>
      <c r="P19" s="109">
        <f>SUM(D19:O19)</f>
        <v/>
      </c>
    </row>
    <row r="20" ht="18" customHeight="1">
      <c r="C20" s="81" t="inlineStr">
        <is>
          <t xml:space="preserve">        Parc Asterix</t>
        </is>
      </c>
      <c r="D20" s="108" t="n">
        <v>0</v>
      </c>
      <c r="E20" s="108" t="n">
        <v>0</v>
      </c>
      <c r="F20" s="108" t="n">
        <v>0</v>
      </c>
      <c r="G20" s="108" t="n">
        <v>0</v>
      </c>
      <c r="H20" s="78" t="n">
        <v>0</v>
      </c>
      <c r="I20" s="78" t="n">
        <v>0</v>
      </c>
      <c r="J20" s="78" t="n">
        <v>0</v>
      </c>
      <c r="K20" s="78" t="n">
        <v>0</v>
      </c>
      <c r="L20" s="78" t="n">
        <v>0</v>
      </c>
      <c r="M20" s="78" t="n">
        <v>0</v>
      </c>
      <c r="N20" s="78" t="n">
        <v>0</v>
      </c>
      <c r="O20" s="78" t="n">
        <v>0</v>
      </c>
      <c r="P20" s="109">
        <f>SUM(D20:O20)</f>
        <v/>
      </c>
    </row>
    <row r="21" ht="18" customHeight="1">
      <c r="C21" s="79" t="inlineStr">
        <is>
          <t xml:space="preserve">        Cinémas</t>
        </is>
      </c>
      <c r="D21" s="108" t="n">
        <v>0</v>
      </c>
      <c r="E21" s="108" t="n">
        <v>0</v>
      </c>
      <c r="F21" s="108" t="n">
        <v>0</v>
      </c>
      <c r="G21" s="108" t="n">
        <v>0</v>
      </c>
      <c r="H21" s="78" t="n">
        <v>0</v>
      </c>
      <c r="I21" s="78" t="n">
        <v>0</v>
      </c>
      <c r="J21" s="78" t="n">
        <v>0</v>
      </c>
      <c r="K21" s="78" t="n">
        <v>0</v>
      </c>
      <c r="L21" s="78" t="n">
        <v>0</v>
      </c>
      <c r="M21" s="78" t="n">
        <v>0</v>
      </c>
      <c r="N21" s="78" t="n">
        <v>0</v>
      </c>
      <c r="O21" s="78" t="n">
        <v>0</v>
      </c>
      <c r="P21" s="109">
        <f>SUM(D21:O21)</f>
        <v/>
      </c>
    </row>
    <row r="22" ht="18" customHeight="1">
      <c r="C22" s="81" t="inlineStr">
        <is>
          <t xml:space="preserve">        Wonderbox</t>
        </is>
      </c>
      <c r="D22" s="108" t="n">
        <v>0</v>
      </c>
      <c r="E22" s="108" t="n">
        <v>0</v>
      </c>
      <c r="F22" s="108" t="n">
        <v>0</v>
      </c>
      <c r="G22" s="108" t="n">
        <v>0</v>
      </c>
      <c r="H22" s="78" t="n">
        <v>0</v>
      </c>
      <c r="I22" s="78" t="n">
        <v>0</v>
      </c>
      <c r="J22" s="78" t="n">
        <v>0</v>
      </c>
      <c r="K22" s="78" t="n">
        <v>0</v>
      </c>
      <c r="L22" s="78" t="n">
        <v>0</v>
      </c>
      <c r="M22" s="78" t="n">
        <v>0</v>
      </c>
      <c r="N22" s="78" t="n">
        <v>0</v>
      </c>
      <c r="O22" s="78" t="n">
        <v>0</v>
      </c>
      <c r="P22" s="109">
        <f>SUM(D22:O22)</f>
        <v/>
      </c>
    </row>
    <row r="23" ht="18" customHeight="1">
      <c r="C23" s="79" t="inlineStr">
        <is>
          <t xml:space="preserve">        Parc Fraispertuis</t>
        </is>
      </c>
      <c r="D23" s="108" t="n">
        <v>0</v>
      </c>
      <c r="E23" s="108" t="n">
        <v>0</v>
      </c>
      <c r="F23" s="108" t="n">
        <v>0</v>
      </c>
      <c r="G23" s="108" t="n">
        <v>0</v>
      </c>
      <c r="H23" s="78" t="n">
        <v>0</v>
      </c>
      <c r="I23" s="78" t="n">
        <v>0</v>
      </c>
      <c r="J23" s="78" t="n">
        <v>0</v>
      </c>
      <c r="K23" s="78" t="n">
        <v>0</v>
      </c>
      <c r="L23" s="78" t="n">
        <v>0</v>
      </c>
      <c r="M23" s="78" t="n">
        <v>0</v>
      </c>
      <c r="N23" s="78" t="n">
        <v>0</v>
      </c>
      <c r="O23" s="78" t="n">
        <v>0</v>
      </c>
      <c r="P23" s="109">
        <f>SUM(D23:O23)</f>
        <v/>
      </c>
    </row>
    <row r="24" ht="18" customHeight="1">
      <c r="C24" s="81" t="inlineStr">
        <is>
          <t xml:space="preserve">        Parc Cigoland</t>
        </is>
      </c>
      <c r="D24" s="108" t="n">
        <v>0</v>
      </c>
      <c r="E24" s="108" t="n">
        <v>0</v>
      </c>
      <c r="F24" s="108" t="n">
        <v>0</v>
      </c>
      <c r="G24" s="108" t="n">
        <v>0</v>
      </c>
      <c r="H24" s="78" t="n">
        <v>0</v>
      </c>
      <c r="I24" s="78" t="n">
        <v>0</v>
      </c>
      <c r="J24" s="78" t="n">
        <v>0</v>
      </c>
      <c r="K24" s="78" t="n">
        <v>0</v>
      </c>
      <c r="L24" s="78" t="n">
        <v>0</v>
      </c>
      <c r="M24" s="78" t="n">
        <v>0</v>
      </c>
      <c r="N24" s="78" t="n">
        <v>0</v>
      </c>
      <c r="O24" s="78" t="n">
        <v>0</v>
      </c>
      <c r="P24" s="109">
        <f>SUM(D24:O24)</f>
        <v/>
      </c>
    </row>
    <row r="25" ht="18" customHeight="1">
      <c r="C25" s="83" t="inlineStr">
        <is>
          <t xml:space="preserve">    Activités culturelles</t>
        </is>
      </c>
      <c r="D25" s="108" t="n">
        <v>0</v>
      </c>
      <c r="E25" s="108" t="n">
        <v>0</v>
      </c>
      <c r="F25" s="108" t="n">
        <v>0</v>
      </c>
      <c r="G25" s="108" t="n">
        <v>0</v>
      </c>
      <c r="H25" s="78" t="n">
        <v>0</v>
      </c>
      <c r="I25" s="78" t="n">
        <v>0</v>
      </c>
      <c r="J25" s="78" t="n">
        <v>0</v>
      </c>
      <c r="K25" s="78" t="n">
        <v>0</v>
      </c>
      <c r="L25" s="78" t="n">
        <v>0</v>
      </c>
      <c r="M25" s="78" t="n">
        <v>0</v>
      </c>
      <c r="N25" s="78" t="n">
        <v>0</v>
      </c>
      <c r="O25" s="78" t="n">
        <v>0</v>
      </c>
      <c r="P25" s="109">
        <f>SUM(D25:O25)</f>
        <v/>
      </c>
    </row>
    <row r="26" ht="18" customHeight="1">
      <c r="C26" s="81" t="inlineStr">
        <is>
          <t xml:space="preserve">        Evénement Noël</t>
        </is>
      </c>
      <c r="D26" s="108" t="n">
        <v>0</v>
      </c>
      <c r="E26" s="108" t="n">
        <v>0</v>
      </c>
      <c r="F26" s="108" t="n">
        <v>0</v>
      </c>
      <c r="G26" s="108" t="n">
        <v>0</v>
      </c>
      <c r="H26" s="78" t="n">
        <v>0</v>
      </c>
      <c r="I26" s="78" t="n">
        <v>0</v>
      </c>
      <c r="J26" s="78" t="n">
        <v>0</v>
      </c>
      <c r="K26" s="78" t="n">
        <v>0</v>
      </c>
      <c r="L26" s="78" t="n">
        <v>0</v>
      </c>
      <c r="M26" s="78" t="n">
        <v>0</v>
      </c>
      <c r="N26" s="78" t="n">
        <v>0</v>
      </c>
      <c r="O26" s="78" t="n">
        <v>0</v>
      </c>
      <c r="P26" s="109">
        <f>SUM(D26:O26)</f>
        <v/>
      </c>
    </row>
    <row r="27" ht="18" customHeight="1">
      <c r="C27" s="79" t="inlineStr">
        <is>
          <t xml:space="preserve">            Sortie Noël - Royer</t>
        </is>
      </c>
      <c r="D27" s="108" t="n">
        <v>0</v>
      </c>
      <c r="E27" s="108" t="n">
        <v>0</v>
      </c>
      <c r="F27" s="108" t="n">
        <v>0</v>
      </c>
      <c r="G27" s="108" t="n">
        <v>0</v>
      </c>
      <c r="H27" s="78" t="n">
        <v>0</v>
      </c>
      <c r="I27" s="78" t="n">
        <v>0</v>
      </c>
      <c r="J27" s="78" t="n">
        <v>0</v>
      </c>
      <c r="K27" s="78" t="n">
        <v>0</v>
      </c>
      <c r="L27" s="78" t="n">
        <v>0</v>
      </c>
      <c r="M27" s="78" t="n">
        <v>0</v>
      </c>
      <c r="N27" s="78" t="n">
        <v>0</v>
      </c>
      <c r="O27" s="78" t="n">
        <v>0</v>
      </c>
      <c r="P27" s="109">
        <f>SUM(D27:O27)</f>
        <v/>
      </c>
    </row>
    <row r="28" ht="18" customHeight="1">
      <c r="C28" s="79" t="inlineStr">
        <is>
          <t xml:space="preserve">            Sortie Noël 2024 - Royer</t>
        </is>
      </c>
      <c r="D28" s="108" t="n">
        <v>0</v>
      </c>
      <c r="E28" s="108" t="n">
        <v>0</v>
      </c>
      <c r="F28" s="108" t="n">
        <v>0</v>
      </c>
      <c r="G28" s="108" t="n">
        <v>0</v>
      </c>
      <c r="H28" s="78" t="n">
        <v>0</v>
      </c>
      <c r="I28" s="78" t="n">
        <v>0</v>
      </c>
      <c r="J28" s="78" t="n">
        <v>0</v>
      </c>
      <c r="K28" s="78" t="n">
        <v>0</v>
      </c>
      <c r="L28" s="78" t="n">
        <v>0</v>
      </c>
      <c r="M28" s="78" t="n">
        <v>0</v>
      </c>
      <c r="N28" s="78" t="n">
        <v>0</v>
      </c>
      <c r="O28" s="78" t="n">
        <v>0</v>
      </c>
      <c r="P28" s="109">
        <f>SUM(D28:O28)</f>
        <v/>
      </c>
    </row>
    <row r="29" ht="18" customHeight="1">
      <c r="C29" s="83" t="inlineStr">
        <is>
          <t xml:space="preserve">    Activités de loisirs</t>
        </is>
      </c>
      <c r="D29" s="108" t="n">
        <v>2825</v>
      </c>
      <c r="E29" s="108" t="n">
        <v>6063</v>
      </c>
      <c r="F29" s="108" t="n">
        <v>5650</v>
      </c>
      <c r="G29" s="108" t="n">
        <v>3260</v>
      </c>
      <c r="H29" s="78" t="n">
        <v>0</v>
      </c>
      <c r="I29" s="78" t="n">
        <v>0</v>
      </c>
      <c r="J29" s="78" t="n">
        <v>0</v>
      </c>
      <c r="K29" s="78" t="n">
        <v>0</v>
      </c>
      <c r="L29" s="78" t="n">
        <v>0</v>
      </c>
      <c r="M29" s="78" t="n">
        <v>0</v>
      </c>
      <c r="N29" s="78" t="n">
        <v>0</v>
      </c>
      <c r="O29" s="78" t="n">
        <v>0</v>
      </c>
      <c r="P29" s="109">
        <f>SUM(D29:O29)</f>
        <v/>
      </c>
    </row>
    <row r="30" ht="18" customHeight="1">
      <c r="C30" s="72" t="inlineStr">
        <is>
          <t xml:space="preserve">    Activités sportives</t>
        </is>
      </c>
      <c r="D30" s="108" t="n">
        <v>0</v>
      </c>
      <c r="E30" s="108" t="n">
        <v>0</v>
      </c>
      <c r="F30" s="108" t="n">
        <v>0</v>
      </c>
      <c r="G30" s="108" t="n">
        <v>0</v>
      </c>
      <c r="H30" s="78" t="n">
        <v>0</v>
      </c>
      <c r="I30" s="78" t="n">
        <v>0</v>
      </c>
      <c r="J30" s="78" t="n">
        <v>0</v>
      </c>
      <c r="K30" s="78" t="n">
        <v>0</v>
      </c>
      <c r="L30" s="78" t="n">
        <v>0</v>
      </c>
      <c r="M30" s="78" t="n">
        <v>0</v>
      </c>
      <c r="N30" s="78" t="n">
        <v>0</v>
      </c>
      <c r="O30" s="78" t="n">
        <v>0</v>
      </c>
      <c r="P30" s="109">
        <f>SUM(D30:O30)</f>
        <v/>
      </c>
    </row>
    <row r="31" ht="18" customHeight="1">
      <c r="C31" s="83" t="inlineStr">
        <is>
          <t xml:space="preserve">    Aides aux voyages</t>
        </is>
      </c>
      <c r="D31" s="108" t="n">
        <v>352.09</v>
      </c>
      <c r="E31" s="108" t="n">
        <v>343.06</v>
      </c>
      <c r="F31" s="108" t="n">
        <v>0</v>
      </c>
      <c r="G31" s="108" t="n">
        <v>0</v>
      </c>
      <c r="H31" s="78" t="n">
        <v>0</v>
      </c>
      <c r="I31" s="78" t="n">
        <v>0</v>
      </c>
      <c r="J31" s="78" t="n">
        <v>0</v>
      </c>
      <c r="K31" s="78" t="n">
        <v>0</v>
      </c>
      <c r="L31" s="78" t="n">
        <v>0</v>
      </c>
      <c r="M31" s="78" t="n">
        <v>0</v>
      </c>
      <c r="N31" s="78" t="n">
        <v>0</v>
      </c>
      <c r="O31" s="78" t="n">
        <v>0</v>
      </c>
      <c r="P31" s="109">
        <f>SUM(D31:O31)</f>
        <v/>
      </c>
    </row>
    <row r="32" ht="18" customHeight="1">
      <c r="C32" s="72" t="inlineStr">
        <is>
          <t xml:space="preserve">    Aides sociales</t>
        </is>
      </c>
      <c r="D32" s="108" t="n">
        <v>0</v>
      </c>
      <c r="E32" s="108" t="n">
        <v>0</v>
      </c>
      <c r="F32" s="108" t="n">
        <v>0</v>
      </c>
      <c r="G32" s="108" t="n">
        <v>0</v>
      </c>
      <c r="H32" s="78" t="n">
        <v>0</v>
      </c>
      <c r="I32" s="78" t="n">
        <v>0</v>
      </c>
      <c r="J32" s="78" t="n">
        <v>0</v>
      </c>
      <c r="K32" s="78" t="n">
        <v>0</v>
      </c>
      <c r="L32" s="78" t="n">
        <v>0</v>
      </c>
      <c r="M32" s="78" t="n">
        <v>0</v>
      </c>
      <c r="N32" s="78" t="n">
        <v>0</v>
      </c>
      <c r="O32" s="78" t="n">
        <v>0</v>
      </c>
      <c r="P32" s="109">
        <f>SUM(D32:O32)</f>
        <v/>
      </c>
    </row>
    <row r="33" ht="18" customHeight="1">
      <c r="C33" s="83" t="inlineStr">
        <is>
          <t xml:space="preserve">    Alimentaire</t>
        </is>
      </c>
      <c r="D33" s="108" t="n">
        <v>0</v>
      </c>
      <c r="E33" s="108" t="n">
        <v>0</v>
      </c>
      <c r="F33" s="108" t="n">
        <v>0</v>
      </c>
      <c r="G33" s="108" t="n">
        <v>0</v>
      </c>
      <c r="H33" s="78" t="n">
        <v>0</v>
      </c>
      <c r="I33" s="78" t="n">
        <v>0</v>
      </c>
      <c r="J33" s="78" t="n">
        <v>0</v>
      </c>
      <c r="K33" s="78" t="n">
        <v>0</v>
      </c>
      <c r="L33" s="78" t="n">
        <v>0</v>
      </c>
      <c r="M33" s="78" t="n">
        <v>0</v>
      </c>
      <c r="N33" s="78" t="n">
        <v>0</v>
      </c>
      <c r="O33" s="78" t="n">
        <v>0</v>
      </c>
      <c r="P33" s="109">
        <f>SUM(D33:O33)</f>
        <v/>
      </c>
    </row>
    <row r="34" ht="18" customHeight="1">
      <c r="C34" s="72" t="inlineStr">
        <is>
          <t xml:space="preserve">    Assurance</t>
        </is>
      </c>
      <c r="D34" s="108" t="n">
        <v>0</v>
      </c>
      <c r="E34" s="108" t="n">
        <v>0</v>
      </c>
      <c r="F34" s="108" t="n">
        <v>0</v>
      </c>
      <c r="G34" s="108" t="n">
        <v>0</v>
      </c>
      <c r="H34" s="78" t="n">
        <v>0</v>
      </c>
      <c r="I34" s="78" t="n">
        <v>0</v>
      </c>
      <c r="J34" s="78" t="n">
        <v>0</v>
      </c>
      <c r="K34" s="78" t="n">
        <v>0</v>
      </c>
      <c r="L34" s="78" t="n">
        <v>0</v>
      </c>
      <c r="M34" s="78" t="n">
        <v>0</v>
      </c>
      <c r="N34" s="78" t="n">
        <v>0</v>
      </c>
      <c r="O34" s="78" t="n">
        <v>0</v>
      </c>
      <c r="P34" s="109">
        <f>SUM(D34:O34)</f>
        <v/>
      </c>
    </row>
    <row r="35" ht="18" customHeight="1">
      <c r="C35" s="83" t="inlineStr">
        <is>
          <t xml:space="preserve">    Bureaux</t>
        </is>
      </c>
      <c r="D35" s="108" t="n">
        <v>0</v>
      </c>
      <c r="E35" s="108" t="n">
        <v>87.90000000000001</v>
      </c>
      <c r="F35" s="108" t="n">
        <v>159.84</v>
      </c>
      <c r="G35" s="108" t="n">
        <v>0</v>
      </c>
      <c r="H35" s="78" t="n">
        <v>0</v>
      </c>
      <c r="I35" s="78" t="n">
        <v>0</v>
      </c>
      <c r="J35" s="78" t="n">
        <v>0</v>
      </c>
      <c r="K35" s="78" t="n">
        <v>0</v>
      </c>
      <c r="L35" s="78" t="n">
        <v>0</v>
      </c>
      <c r="M35" s="78" t="n">
        <v>0</v>
      </c>
      <c r="N35" s="78" t="n">
        <v>0</v>
      </c>
      <c r="O35" s="78" t="n">
        <v>0</v>
      </c>
      <c r="P35" s="109">
        <f>SUM(D35:O35)</f>
        <v/>
      </c>
    </row>
    <row r="36" ht="18" customHeight="1">
      <c r="C36" s="72" t="inlineStr">
        <is>
          <t xml:space="preserve">    Cadeaux et bons d'achat</t>
        </is>
      </c>
      <c r="D36" s="108" t="n">
        <v>0</v>
      </c>
      <c r="E36" s="108" t="n">
        <v>0</v>
      </c>
      <c r="F36" s="108" t="n">
        <v>0</v>
      </c>
      <c r="G36" s="108" t="n">
        <v>0</v>
      </c>
      <c r="H36" s="78" t="n">
        <v>0</v>
      </c>
      <c r="I36" s="78" t="n">
        <v>0</v>
      </c>
      <c r="J36" s="78" t="n">
        <v>0</v>
      </c>
      <c r="K36" s="78" t="n">
        <v>0</v>
      </c>
      <c r="L36" s="78" t="n">
        <v>0</v>
      </c>
      <c r="M36" s="78" t="n">
        <v>0</v>
      </c>
      <c r="N36" s="78" t="n">
        <v>0</v>
      </c>
      <c r="O36" s="78" t="n">
        <v>0</v>
      </c>
      <c r="P36" s="109">
        <f>SUM(D36:O36)</f>
        <v/>
      </c>
    </row>
    <row r="37" ht="18" customHeight="1">
      <c r="C37" s="79" t="inlineStr">
        <is>
          <t xml:space="preserve">        Chèques CADHOC</t>
        </is>
      </c>
      <c r="D37" s="108" t="n">
        <v>0</v>
      </c>
      <c r="E37" s="108" t="n">
        <v>0</v>
      </c>
      <c r="F37" s="108" t="n">
        <v>0</v>
      </c>
      <c r="G37" s="108" t="n">
        <v>0</v>
      </c>
      <c r="H37" s="78" t="n">
        <v>0</v>
      </c>
      <c r="I37" s="78" t="n">
        <v>0</v>
      </c>
      <c r="J37" s="78" t="n">
        <v>0</v>
      </c>
      <c r="K37" s="78" t="n">
        <v>0</v>
      </c>
      <c r="L37" s="78" t="n">
        <v>0</v>
      </c>
      <c r="M37" s="78" t="n">
        <v>0</v>
      </c>
      <c r="N37" s="78" t="n">
        <v>0</v>
      </c>
      <c r="O37" s="78" t="n">
        <v>0</v>
      </c>
      <c r="P37" s="109">
        <f>SUM(D37:O37)</f>
        <v/>
      </c>
    </row>
    <row r="38" ht="18" customHeight="1">
      <c r="C38" s="72" t="inlineStr">
        <is>
          <t xml:space="preserve">    Chèques-vacances</t>
        </is>
      </c>
      <c r="D38" s="108" t="n">
        <v>0</v>
      </c>
      <c r="E38" s="108" t="n">
        <v>0</v>
      </c>
      <c r="F38" s="108" t="n">
        <v>0</v>
      </c>
      <c r="G38" s="108" t="n">
        <v>0</v>
      </c>
      <c r="H38" s="78" t="n">
        <v>0</v>
      </c>
      <c r="I38" s="78" t="n">
        <v>0</v>
      </c>
      <c r="J38" s="78" t="n">
        <v>0</v>
      </c>
      <c r="K38" s="78" t="n">
        <v>0</v>
      </c>
      <c r="L38" s="78" t="n">
        <v>0</v>
      </c>
      <c r="M38" s="78" t="n">
        <v>0</v>
      </c>
      <c r="N38" s="78" t="n">
        <v>0</v>
      </c>
      <c r="O38" s="78" t="n">
        <v>0</v>
      </c>
      <c r="P38" s="109">
        <f>SUM(D38:O38)</f>
        <v/>
      </c>
    </row>
    <row r="39" ht="18" customHeight="1">
      <c r="C39" s="79" t="inlineStr">
        <is>
          <t xml:space="preserve">        ANCV</t>
        </is>
      </c>
      <c r="D39" s="108" t="n">
        <v>0</v>
      </c>
      <c r="E39" s="108" t="n">
        <v>0</v>
      </c>
      <c r="F39" s="108" t="n">
        <v>0</v>
      </c>
      <c r="G39" s="108" t="n">
        <v>0</v>
      </c>
      <c r="H39" s="78" t="n">
        <v>0</v>
      </c>
      <c r="I39" s="78" t="n">
        <v>0</v>
      </c>
      <c r="J39" s="78" t="n">
        <v>0</v>
      </c>
      <c r="K39" s="78" t="n">
        <v>0</v>
      </c>
      <c r="L39" s="78" t="n">
        <v>0</v>
      </c>
      <c r="M39" s="78" t="n">
        <v>0</v>
      </c>
      <c r="N39" s="78" t="n">
        <v>0</v>
      </c>
      <c r="O39" s="78" t="n">
        <v>0</v>
      </c>
      <c r="P39" s="109">
        <f>SUM(D39:O39)</f>
        <v/>
      </c>
    </row>
    <row r="40" ht="18" customHeight="1">
      <c r="C40" s="72" t="inlineStr">
        <is>
          <t xml:space="preserve">    Déplacements</t>
        </is>
      </c>
      <c r="D40" s="108" t="n">
        <v>0</v>
      </c>
      <c r="E40" s="108" t="n">
        <v>0</v>
      </c>
      <c r="F40" s="108" t="n">
        <v>419.6</v>
      </c>
      <c r="G40" s="108" t="n">
        <v>0</v>
      </c>
      <c r="H40" s="78" t="n">
        <v>0</v>
      </c>
      <c r="I40" s="78" t="n">
        <v>0</v>
      </c>
      <c r="J40" s="78" t="n">
        <v>0</v>
      </c>
      <c r="K40" s="78" t="n">
        <v>0</v>
      </c>
      <c r="L40" s="78" t="n">
        <v>0</v>
      </c>
      <c r="M40" s="78" t="n">
        <v>0</v>
      </c>
      <c r="N40" s="78" t="n">
        <v>0</v>
      </c>
      <c r="O40" s="78" t="n">
        <v>0</v>
      </c>
      <c r="P40" s="109">
        <f>SUM(D40:O40)</f>
        <v/>
      </c>
    </row>
    <row r="41" ht="18" customHeight="1">
      <c r="C41" s="83" t="inlineStr">
        <is>
          <t xml:space="preserve">    Finance &amp; Compta</t>
        </is>
      </c>
      <c r="D41" s="108" t="n">
        <v>0</v>
      </c>
      <c r="E41" s="108" t="n">
        <v>0</v>
      </c>
      <c r="F41" s="108" t="n">
        <v>0</v>
      </c>
      <c r="G41" s="108" t="n">
        <v>0</v>
      </c>
      <c r="H41" s="78" t="n">
        <v>0</v>
      </c>
      <c r="I41" s="78" t="n">
        <v>0</v>
      </c>
      <c r="J41" s="78" t="n">
        <v>0</v>
      </c>
      <c r="K41" s="78" t="n">
        <v>0</v>
      </c>
      <c r="L41" s="78" t="n">
        <v>0</v>
      </c>
      <c r="M41" s="78" t="n">
        <v>0</v>
      </c>
      <c r="N41" s="78" t="n">
        <v>0</v>
      </c>
      <c r="O41" s="78" t="n">
        <v>0</v>
      </c>
      <c r="P41" s="109">
        <f>SUM(D41:O41)</f>
        <v/>
      </c>
    </row>
    <row r="42" ht="18" customHeight="1">
      <c r="C42" s="72" t="inlineStr">
        <is>
          <t xml:space="preserve">    Frais bancaires</t>
        </is>
      </c>
      <c r="D42" s="108" t="n">
        <v>29.78</v>
      </c>
      <c r="E42" s="108" t="n">
        <v>185.26</v>
      </c>
      <c r="F42" s="108" t="n">
        <v>45.49</v>
      </c>
      <c r="G42" s="108" t="n">
        <v>46.95</v>
      </c>
      <c r="H42" s="78" t="n">
        <v>0</v>
      </c>
      <c r="I42" s="78" t="n">
        <v>0</v>
      </c>
      <c r="J42" s="78" t="n">
        <v>0</v>
      </c>
      <c r="K42" s="78" t="n">
        <v>0</v>
      </c>
      <c r="L42" s="78" t="n">
        <v>0</v>
      </c>
      <c r="M42" s="78" t="n">
        <v>0</v>
      </c>
      <c r="N42" s="78" t="n">
        <v>0</v>
      </c>
      <c r="O42" s="78" t="n">
        <v>0</v>
      </c>
      <c r="P42" s="109">
        <f>SUM(D42:O42)</f>
        <v/>
      </c>
    </row>
    <row r="43" ht="18" customHeight="1">
      <c r="C43" s="83" t="inlineStr">
        <is>
          <t xml:space="preserve">    Juridique</t>
        </is>
      </c>
      <c r="D43" s="108" t="n">
        <v>0</v>
      </c>
      <c r="E43" s="108" t="n">
        <v>0</v>
      </c>
      <c r="F43" s="108" t="n">
        <v>0</v>
      </c>
      <c r="G43" s="108" t="n">
        <v>0</v>
      </c>
      <c r="H43" s="78" t="n">
        <v>0</v>
      </c>
      <c r="I43" s="78" t="n">
        <v>0</v>
      </c>
      <c r="J43" s="78" t="n">
        <v>0</v>
      </c>
      <c r="K43" s="78" t="n">
        <v>0</v>
      </c>
      <c r="L43" s="78" t="n">
        <v>0</v>
      </c>
      <c r="M43" s="78" t="n">
        <v>0</v>
      </c>
      <c r="N43" s="78" t="n">
        <v>0</v>
      </c>
      <c r="O43" s="78" t="n">
        <v>0</v>
      </c>
      <c r="P43" s="109">
        <f>SUM(D43:O43)</f>
        <v/>
      </c>
    </row>
    <row r="44" ht="18" customHeight="1">
      <c r="C44" s="72" t="inlineStr">
        <is>
          <t xml:space="preserve">    Logiciels &amp; Services Web</t>
        </is>
      </c>
      <c r="D44" s="108" t="n">
        <v>0</v>
      </c>
      <c r="E44" s="108" t="n">
        <v>187.89</v>
      </c>
      <c r="F44" s="108" t="n">
        <v>0</v>
      </c>
      <c r="G44" s="108" t="n">
        <v>0</v>
      </c>
      <c r="H44" s="78" t="n">
        <v>0</v>
      </c>
      <c r="I44" s="78" t="n">
        <v>0</v>
      </c>
      <c r="J44" s="78" t="n">
        <v>0</v>
      </c>
      <c r="K44" s="78" t="n">
        <v>0</v>
      </c>
      <c r="L44" s="78" t="n">
        <v>0</v>
      </c>
      <c r="M44" s="78" t="n">
        <v>0</v>
      </c>
      <c r="N44" s="78" t="n">
        <v>0</v>
      </c>
      <c r="O44" s="78" t="n">
        <v>0</v>
      </c>
      <c r="P44" s="109">
        <f>SUM(D44:O44)</f>
        <v/>
      </c>
    </row>
    <row r="45" ht="18" customHeight="1">
      <c r="C45" s="83" t="inlineStr">
        <is>
          <t xml:space="preserve">    Logistique</t>
        </is>
      </c>
      <c r="D45" s="108" t="n">
        <v>0</v>
      </c>
      <c r="E45" s="108" t="n">
        <v>0</v>
      </c>
      <c r="F45" s="108" t="n">
        <v>0</v>
      </c>
      <c r="G45" s="108" t="n">
        <v>0</v>
      </c>
      <c r="H45" s="78" t="n">
        <v>0</v>
      </c>
      <c r="I45" s="78" t="n">
        <v>0</v>
      </c>
      <c r="J45" s="78" t="n">
        <v>0</v>
      </c>
      <c r="K45" s="78" t="n">
        <v>0</v>
      </c>
      <c r="L45" s="78" t="n">
        <v>0</v>
      </c>
      <c r="M45" s="78" t="n">
        <v>0</v>
      </c>
      <c r="N45" s="78" t="n">
        <v>0</v>
      </c>
      <c r="O45" s="78" t="n">
        <v>0</v>
      </c>
      <c r="P45" s="109">
        <f>SUM(D45:O45)</f>
        <v/>
      </c>
    </row>
    <row r="46" ht="18" customHeight="1">
      <c r="C46" s="72" t="inlineStr">
        <is>
          <t xml:space="preserve">    Loyers</t>
        </is>
      </c>
      <c r="D46" s="108" t="n">
        <v>0</v>
      </c>
      <c r="E46" s="108" t="n">
        <v>0</v>
      </c>
      <c r="F46" s="108" t="n">
        <v>0</v>
      </c>
      <c r="G46" s="108" t="n">
        <v>0</v>
      </c>
      <c r="H46" s="78" t="n">
        <v>0</v>
      </c>
      <c r="I46" s="78" t="n">
        <v>0</v>
      </c>
      <c r="J46" s="78" t="n">
        <v>0</v>
      </c>
      <c r="K46" s="78" t="n">
        <v>0</v>
      </c>
      <c r="L46" s="78" t="n">
        <v>0</v>
      </c>
      <c r="M46" s="78" t="n">
        <v>0</v>
      </c>
      <c r="N46" s="78" t="n">
        <v>0</v>
      </c>
      <c r="O46" s="78" t="n">
        <v>0</v>
      </c>
      <c r="P46" s="109">
        <f>SUM(D46:O46)</f>
        <v/>
      </c>
    </row>
    <row r="47" ht="18" customHeight="1">
      <c r="C47" s="83" t="inlineStr">
        <is>
          <t xml:space="preserve">    Ordinateurs &amp; Équipements</t>
        </is>
      </c>
      <c r="D47" s="108" t="n">
        <v>0</v>
      </c>
      <c r="E47" s="108" t="n">
        <v>84</v>
      </c>
      <c r="F47" s="108" t="n">
        <v>69.95</v>
      </c>
      <c r="G47" s="108" t="n">
        <v>0</v>
      </c>
      <c r="H47" s="78" t="n">
        <v>0</v>
      </c>
      <c r="I47" s="78" t="n">
        <v>0</v>
      </c>
      <c r="J47" s="78" t="n">
        <v>0</v>
      </c>
      <c r="K47" s="78" t="n">
        <v>0</v>
      </c>
      <c r="L47" s="78" t="n">
        <v>0</v>
      </c>
      <c r="M47" s="78" t="n">
        <v>0</v>
      </c>
      <c r="N47" s="78" t="n">
        <v>0</v>
      </c>
      <c r="O47" s="78" t="n">
        <v>0</v>
      </c>
      <c r="P47" s="109">
        <f>SUM(D47:O47)</f>
        <v/>
      </c>
    </row>
    <row r="48" ht="18" customHeight="1">
      <c r="C48" s="81" t="inlineStr">
        <is>
          <t xml:space="preserve">        Remboursement élus matériel 2025</t>
        </is>
      </c>
      <c r="D48" s="108" t="n">
        <v>0</v>
      </c>
      <c r="E48" s="108" t="n">
        <v>0</v>
      </c>
      <c r="F48" s="108" t="n">
        <v>0</v>
      </c>
      <c r="G48" s="108" t="n">
        <v>0</v>
      </c>
      <c r="H48" s="78" t="n">
        <v>0</v>
      </c>
      <c r="I48" s="78" t="n">
        <v>0</v>
      </c>
      <c r="J48" s="78" t="n">
        <v>0</v>
      </c>
      <c r="K48" s="78" t="n">
        <v>0</v>
      </c>
      <c r="L48" s="78" t="n">
        <v>0</v>
      </c>
      <c r="M48" s="78" t="n">
        <v>0</v>
      </c>
      <c r="N48" s="78" t="n">
        <v>0</v>
      </c>
      <c r="O48" s="78" t="n">
        <v>0</v>
      </c>
      <c r="P48" s="109">
        <f>SUM(D48:O48)</f>
        <v/>
      </c>
    </row>
    <row r="49" ht="18" customHeight="1">
      <c r="C49" s="83" t="inlineStr">
        <is>
          <t xml:space="preserve">    Restauration</t>
        </is>
      </c>
      <c r="D49" s="108" t="n">
        <v>204.2</v>
      </c>
      <c r="E49" s="108" t="n">
        <v>147</v>
      </c>
      <c r="F49" s="108" t="n">
        <v>0</v>
      </c>
      <c r="G49" s="108" t="n">
        <v>0</v>
      </c>
      <c r="H49" s="78" t="n">
        <v>0</v>
      </c>
      <c r="I49" s="78" t="n">
        <v>0</v>
      </c>
      <c r="J49" s="78" t="n">
        <v>0</v>
      </c>
      <c r="K49" s="78" t="n">
        <v>0</v>
      </c>
      <c r="L49" s="78" t="n">
        <v>0</v>
      </c>
      <c r="M49" s="78" t="n">
        <v>0</v>
      </c>
      <c r="N49" s="78" t="n">
        <v>0</v>
      </c>
      <c r="O49" s="78" t="n">
        <v>0</v>
      </c>
      <c r="P49" s="109">
        <f>SUM(D49:O49)</f>
        <v/>
      </c>
    </row>
    <row r="50" ht="18" customHeight="1">
      <c r="C50" s="72" t="inlineStr">
        <is>
          <t xml:space="preserve">    Revenu</t>
        </is>
      </c>
      <c r="D50" s="108" t="n">
        <v>0</v>
      </c>
      <c r="E50" s="108" t="n">
        <v>0</v>
      </c>
      <c r="F50" s="108" t="n">
        <v>0</v>
      </c>
      <c r="G50" s="108" t="n">
        <v>0</v>
      </c>
      <c r="H50" s="78" t="n">
        <v>0</v>
      </c>
      <c r="I50" s="78" t="n">
        <v>0</v>
      </c>
      <c r="J50" s="78" t="n">
        <v>0</v>
      </c>
      <c r="K50" s="78" t="n">
        <v>0</v>
      </c>
      <c r="L50" s="78" t="n">
        <v>0</v>
      </c>
      <c r="M50" s="78" t="n">
        <v>0</v>
      </c>
      <c r="N50" s="78" t="n">
        <v>0</v>
      </c>
      <c r="O50" s="78" t="n">
        <v>0</v>
      </c>
      <c r="P50" s="109">
        <f>SUM(D50:O50)</f>
        <v/>
      </c>
    </row>
    <row r="51" ht="18" customHeight="1">
      <c r="C51" s="83" t="inlineStr">
        <is>
          <t xml:space="preserve">    Salaires</t>
        </is>
      </c>
      <c r="D51" s="108" t="n">
        <v>0</v>
      </c>
      <c r="E51" s="108" t="n">
        <v>0</v>
      </c>
      <c r="F51" s="108" t="n">
        <v>0</v>
      </c>
      <c r="G51" s="108" t="n">
        <v>0</v>
      </c>
      <c r="H51" s="78" t="n">
        <v>0</v>
      </c>
      <c r="I51" s="78" t="n">
        <v>0</v>
      </c>
      <c r="J51" s="78" t="n">
        <v>0</v>
      </c>
      <c r="K51" s="78" t="n">
        <v>0</v>
      </c>
      <c r="L51" s="78" t="n">
        <v>0</v>
      </c>
      <c r="M51" s="78" t="n">
        <v>0</v>
      </c>
      <c r="N51" s="78" t="n">
        <v>0</v>
      </c>
      <c r="O51" s="78" t="n">
        <v>0</v>
      </c>
      <c r="P51" s="109">
        <f>SUM(D51:O51)</f>
        <v/>
      </c>
    </row>
    <row r="52" ht="18" customHeight="1">
      <c r="C52" s="72" t="inlineStr">
        <is>
          <t xml:space="preserve">    Sous-traitance &amp; Prestations</t>
        </is>
      </c>
      <c r="D52" s="108" t="n">
        <v>0</v>
      </c>
      <c r="E52" s="108" t="n">
        <v>47.88</v>
      </c>
      <c r="F52" s="108" t="n">
        <v>0</v>
      </c>
      <c r="G52" s="108" t="n">
        <v>0</v>
      </c>
      <c r="H52" s="78" t="n">
        <v>0</v>
      </c>
      <c r="I52" s="78" t="n">
        <v>0</v>
      </c>
      <c r="J52" s="78" t="n">
        <v>0</v>
      </c>
      <c r="K52" s="78" t="n">
        <v>0</v>
      </c>
      <c r="L52" s="78" t="n">
        <v>0</v>
      </c>
      <c r="M52" s="78" t="n">
        <v>0</v>
      </c>
      <c r="N52" s="78" t="n">
        <v>0</v>
      </c>
      <c r="O52" s="78" t="n">
        <v>0</v>
      </c>
      <c r="P52" s="109">
        <f>SUM(D52:O52)</f>
        <v/>
      </c>
    </row>
    <row r="53" ht="18" customHeight="1">
      <c r="C53" s="83" t="inlineStr">
        <is>
          <t xml:space="preserve">    Subventions employeur</t>
        </is>
      </c>
      <c r="D53" s="108" t="n">
        <v>0</v>
      </c>
      <c r="E53" s="108" t="n">
        <v>0</v>
      </c>
      <c r="F53" s="108" t="n">
        <v>0</v>
      </c>
      <c r="G53" s="108" t="n">
        <v>0</v>
      </c>
      <c r="H53" s="78" t="n">
        <v>0</v>
      </c>
      <c r="I53" s="78" t="n">
        <v>0</v>
      </c>
      <c r="J53" s="78" t="n">
        <v>0</v>
      </c>
      <c r="K53" s="78" t="n">
        <v>0</v>
      </c>
      <c r="L53" s="78" t="n">
        <v>0</v>
      </c>
      <c r="M53" s="78" t="n">
        <v>0</v>
      </c>
      <c r="N53" s="78" t="n">
        <v>0</v>
      </c>
      <c r="O53" s="78" t="n">
        <v>0</v>
      </c>
      <c r="P53" s="109">
        <f>SUM(D53:O53)</f>
        <v/>
      </c>
    </row>
    <row r="54" ht="18" customHeight="1">
      <c r="C54" s="72" t="inlineStr">
        <is>
          <t xml:space="preserve">    Téléphone &amp; Internet</t>
        </is>
      </c>
      <c r="D54" s="108" t="n">
        <v>120</v>
      </c>
      <c r="E54" s="108" t="n">
        <v>120</v>
      </c>
      <c r="F54" s="108" t="n">
        <v>121.18</v>
      </c>
      <c r="G54" s="108" t="n">
        <v>0</v>
      </c>
      <c r="H54" s="78" t="n">
        <v>0</v>
      </c>
      <c r="I54" s="78" t="n">
        <v>0</v>
      </c>
      <c r="J54" s="78" t="n">
        <v>0</v>
      </c>
      <c r="K54" s="78" t="n">
        <v>0</v>
      </c>
      <c r="L54" s="78" t="n">
        <v>0</v>
      </c>
      <c r="M54" s="78" t="n">
        <v>0</v>
      </c>
      <c r="N54" s="78" t="n">
        <v>0</v>
      </c>
      <c r="O54" s="78" t="n">
        <v>0</v>
      </c>
      <c r="P54" s="109">
        <f>SUM(D54:O54)</f>
        <v/>
      </c>
    </row>
    <row r="55" ht="18" customHeight="1">
      <c r="C55" s="83" t="inlineStr">
        <is>
          <t xml:space="preserve">    Virements internes</t>
        </is>
      </c>
      <c r="D55" s="108" t="n">
        <v>0</v>
      </c>
      <c r="E55" s="108" t="n">
        <v>0</v>
      </c>
      <c r="F55" s="108" t="n">
        <v>0</v>
      </c>
      <c r="G55" s="108" t="n">
        <v>0</v>
      </c>
      <c r="H55" s="78" t="n">
        <v>0</v>
      </c>
      <c r="I55" s="78" t="n">
        <v>0</v>
      </c>
      <c r="J55" s="78" t="n">
        <v>0</v>
      </c>
      <c r="K55" s="78" t="n">
        <v>0</v>
      </c>
      <c r="L55" s="78" t="n">
        <v>0</v>
      </c>
      <c r="M55" s="78" t="n">
        <v>0</v>
      </c>
      <c r="N55" s="78" t="n">
        <v>0</v>
      </c>
      <c r="O55" s="78" t="n">
        <v>0</v>
      </c>
      <c r="P55" s="109">
        <f>SUM(D55:O55)</f>
        <v/>
      </c>
    </row>
    <row r="56" ht="18" customHeight="1">
      <c r="C56" s="72" t="inlineStr">
        <is>
          <t xml:space="preserve">    Frais postaux</t>
        </is>
      </c>
      <c r="D56" s="108" t="n">
        <v>36.48</v>
      </c>
      <c r="E56" s="108" t="n">
        <v>72.95999999999999</v>
      </c>
      <c r="F56" s="108" t="n">
        <v>0</v>
      </c>
      <c r="G56" s="108" t="n">
        <v>0</v>
      </c>
      <c r="H56" s="78" t="n">
        <v>0</v>
      </c>
      <c r="I56" s="78" t="n">
        <v>0</v>
      </c>
      <c r="J56" s="78" t="n">
        <v>0</v>
      </c>
      <c r="K56" s="78" t="n">
        <v>0</v>
      </c>
      <c r="L56" s="78" t="n">
        <v>0</v>
      </c>
      <c r="M56" s="78" t="n">
        <v>0</v>
      </c>
      <c r="N56" s="78" t="n">
        <v>0</v>
      </c>
      <c r="O56" s="78" t="n">
        <v>0</v>
      </c>
      <c r="P56" s="109">
        <f>SUM(D56:O56)</f>
        <v/>
      </c>
    </row>
    <row r="57" ht="18" customHeight="1">
      <c r="C57" s="83" t="inlineStr">
        <is>
          <t xml:space="preserve">    Formation des élus</t>
        </is>
      </c>
      <c r="D57" s="108" t="n">
        <v>0</v>
      </c>
      <c r="E57" s="108" t="n">
        <v>0</v>
      </c>
      <c r="F57" s="108" t="n">
        <v>0</v>
      </c>
      <c r="G57" s="108" t="n">
        <v>0</v>
      </c>
      <c r="H57" s="78" t="n">
        <v>0</v>
      </c>
      <c r="I57" s="78" t="n">
        <v>0</v>
      </c>
      <c r="J57" s="78" t="n">
        <v>0</v>
      </c>
      <c r="K57" s="78" t="n">
        <v>0</v>
      </c>
      <c r="L57" s="78" t="n">
        <v>0</v>
      </c>
      <c r="M57" s="78" t="n">
        <v>0</v>
      </c>
      <c r="N57" s="78" t="n">
        <v>0</v>
      </c>
      <c r="O57" s="78" t="n">
        <v>0</v>
      </c>
      <c r="P57" s="109">
        <f>SUM(D57:O57)</f>
        <v/>
      </c>
    </row>
    <row r="58" ht="18" customHeight="1">
      <c r="C58" s="72" t="inlineStr">
        <is>
          <t xml:space="preserve">    Sorties non catégorisées</t>
        </is>
      </c>
      <c r="D58" s="108" t="n">
        <v>10039.86</v>
      </c>
      <c r="E58" s="108" t="n">
        <v>46264.76</v>
      </c>
      <c r="F58" s="108" t="n">
        <v>1818.02</v>
      </c>
      <c r="G58" s="108" t="n">
        <v>975</v>
      </c>
      <c r="H58" s="78" t="n">
        <v>0</v>
      </c>
      <c r="I58" s="78" t="n">
        <v>0</v>
      </c>
      <c r="J58" s="78" t="n">
        <v>0</v>
      </c>
      <c r="K58" s="78" t="n">
        <v>0</v>
      </c>
      <c r="L58" s="78" t="n">
        <v>0</v>
      </c>
      <c r="M58" s="78" t="n">
        <v>0</v>
      </c>
      <c r="N58" s="78" t="n">
        <v>0</v>
      </c>
      <c r="O58" s="78" t="n">
        <v>0</v>
      </c>
      <c r="P58" s="109">
        <f>SUM(D58:O58)</f>
        <v/>
      </c>
    </row>
    <row r="59" ht="18" customHeight="1">
      <c r="C59" s="83" t="inlineStr">
        <is>
          <t xml:space="preserve">    Paiement TVA</t>
        </is>
      </c>
      <c r="D59" s="108" t="n">
        <v>0</v>
      </c>
      <c r="E59" s="108" t="n">
        <v>0</v>
      </c>
      <c r="F59" s="108" t="n">
        <v>0</v>
      </c>
      <c r="G59" s="108" t="n">
        <v>0</v>
      </c>
      <c r="H59" s="78" t="n">
        <v>0</v>
      </c>
      <c r="I59" s="78" t="n">
        <v>0</v>
      </c>
      <c r="J59" s="78" t="n">
        <v>0</v>
      </c>
      <c r="K59" s="78" t="n">
        <v>0</v>
      </c>
      <c r="L59" s="78" t="n">
        <v>0</v>
      </c>
      <c r="M59" s="78" t="n">
        <v>0</v>
      </c>
      <c r="N59" s="78" t="n">
        <v>0</v>
      </c>
      <c r="O59" s="78" t="n">
        <v>0</v>
      </c>
      <c r="P59" s="109">
        <f>SUM(D59:O59)</f>
        <v/>
      </c>
    </row>
    <row r="60" ht="18" customHeight="1">
      <c r="C60" s="90" t="inlineStr">
        <is>
          <t>Trésorerie fin de mois</t>
        </is>
      </c>
      <c r="D60" s="91" t="n">
        <v>506826.28</v>
      </c>
      <c r="E60" s="91" t="n">
        <v>514364.64</v>
      </c>
      <c r="F60" s="91" t="n">
        <v>470450.89</v>
      </c>
      <c r="G60" s="91" t="inlineStr"/>
      <c r="H60" s="91" t="inlineStr"/>
      <c r="I60" s="91" t="inlineStr"/>
      <c r="J60" s="91" t="inlineStr"/>
      <c r="K60" s="91" t="inlineStr"/>
      <c r="L60" s="91" t="inlineStr"/>
      <c r="M60" s="91" t="inlineStr"/>
      <c r="N60" s="91" t="inlineStr"/>
      <c r="O60" s="91" t="inlineStr"/>
      <c r="P60" s="105">
        <f>SUM(D60:O60)</f>
        <v/>
      </c>
    </row>
    <row r="62" ht="16" customHeight="1">
      <c r="C62" s="101" t="inlineStr">
        <is>
          <t>🔵 Cellules bleues = données Pennylane saisies   |   Mettre à jour mois par mois</t>
        </is>
      </c>
    </row>
  </sheetData>
  <mergeCells count="3">
    <mergeCell ref="C2:P2"/>
    <mergeCell ref="C62:F62"/>
    <mergeCell ref="C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45" customWidth="1" min="4" max="4"/>
    <col width="15" customWidth="1" min="5" max="5"/>
    <col width="15" customWidth="1" min="6" max="6"/>
    <col width="12" customWidth="1" min="7" max="7"/>
    <col width="20" customWidth="1" min="8" max="8"/>
  </cols>
  <sheetData>
    <row r="1" ht="30" customHeight="1">
      <c r="B1" s="110" t="inlineStr">
        <is>
          <t>⚠️  TABLEAU DES ALERTES AUTOMATIQUES | CSE LIDL ENTZHEIM</t>
        </is>
      </c>
    </row>
    <row r="2" ht="18" customHeight="1">
      <c r="B2" s="111" t="inlineStr">
        <is>
          <t>Alertes calculées dynamiquement à partir du Plan de Trésorerie. Mis à jour à chaque modification des onglets BUDGET et RÉALISÉ.</t>
        </is>
      </c>
    </row>
    <row r="3" ht="22" customHeight="1">
      <c r="B3" s="112" t="inlineStr">
        <is>
          <t>#</t>
        </is>
      </c>
      <c r="C3" s="112" t="inlineStr">
        <is>
          <t>NIVEAU</t>
        </is>
      </c>
      <c r="D3" s="112" t="inlineStr">
        <is>
          <t>CATÉGORIE</t>
        </is>
      </c>
      <c r="E3" s="112" t="inlineStr">
        <is>
          <t>BUDGET N</t>
        </is>
      </c>
      <c r="F3" s="112" t="inlineStr">
        <is>
          <t>RÉALISÉ</t>
        </is>
      </c>
      <c r="G3" s="112" t="inlineStr">
        <is>
          <t>ÉCART €</t>
        </is>
      </c>
      <c r="H3" s="112" t="inlineStr">
        <is>
          <t>ALERTE</t>
        </is>
      </c>
    </row>
    <row r="4" ht="20" customHeight="1">
      <c r="B4" s="113" t="inlineStr">
        <is>
          <t>1</t>
        </is>
      </c>
      <c r="C4" s="114" t="inlineStr">
        <is>
          <t>🔴 CRITIQUE</t>
        </is>
      </c>
      <c r="D4" s="115" t="inlineStr">
        <is>
          <t>Sorties non catégorisées</t>
        </is>
      </c>
      <c r="E4" s="116">
        <f>'PLAN TRÉSO'!D58</f>
        <v/>
      </c>
      <c r="F4" s="116">
        <f>'PLAN TRÉSO'!E58</f>
        <v/>
      </c>
      <c r="G4" s="117">
        <f>'PLAN TRÉSO'!E58-'PLAN TRÉSO'!D58</f>
        <v/>
      </c>
      <c r="H4" s="118" t="inlineStr">
        <is>
          <t>Solde très élevé — ventiler les écritures dans Pennylane</t>
        </is>
      </c>
    </row>
    <row r="5" ht="20" customHeight="1">
      <c r="B5" s="119" t="inlineStr">
        <is>
          <t>2</t>
        </is>
      </c>
      <c r="C5" s="120" t="inlineStr">
        <is>
          <t>🟡 ATTENTION</t>
        </is>
      </c>
      <c r="D5" s="121" t="inlineStr">
        <is>
          <t>Achat Billets</t>
        </is>
      </c>
      <c r="E5" s="122">
        <f>'PLAN TRÉSO'!D12</f>
        <v/>
      </c>
      <c r="F5" s="122">
        <f>'PLAN TRÉSO'!E12</f>
        <v/>
      </c>
      <c r="G5" s="122">
        <f>'PLAN TRÉSO'!E12-'PLAN TRÉSO'!D12</f>
        <v/>
      </c>
      <c r="H5" s="123" t="inlineStr">
        <is>
          <t>Vérifier que les remboursements/avances sont corrects</t>
        </is>
      </c>
    </row>
    <row r="6" ht="20" customHeight="1">
      <c r="B6" s="124" t="inlineStr">
        <is>
          <t>3</t>
        </is>
      </c>
      <c r="C6" s="125" t="inlineStr">
        <is>
          <t>🔵 INFO</t>
        </is>
      </c>
      <c r="D6" s="126" t="inlineStr">
        <is>
          <t>SORTIES</t>
        </is>
      </c>
      <c r="E6" s="127">
        <f>'PLAN TRÉSO'!D11</f>
        <v/>
      </c>
      <c r="F6" s="127">
        <f>'PLAN TRÉSO'!E11</f>
        <v/>
      </c>
      <c r="G6" s="127">
        <f>'PLAN TRÉSO'!E11-'PLAN TRÉSO'!D11</f>
        <v/>
      </c>
      <c r="H6" s="128" t="inlineStr">
        <is>
          <t>Suivi global des dépenses — budget à saisir</t>
        </is>
      </c>
    </row>
    <row r="7" ht="20" customHeight="1">
      <c r="B7" s="124" t="inlineStr">
        <is>
          <t>4</t>
        </is>
      </c>
      <c r="C7" s="125" t="inlineStr">
        <is>
          <t>🔵 INFO</t>
        </is>
      </c>
      <c r="D7" s="126" t="inlineStr">
        <is>
          <t>ENTRÉES</t>
        </is>
      </c>
      <c r="E7" s="127">
        <f>'PLAN TRÉSO'!D5</f>
        <v/>
      </c>
      <c r="F7" s="127">
        <f>'PLAN TRÉSO'!E5</f>
        <v/>
      </c>
      <c r="G7" s="127">
        <f>'PLAN TRÉSO'!E5-'PLAN TRÉSO'!D5</f>
        <v/>
      </c>
      <c r="H7" s="128" t="inlineStr">
        <is>
          <t>Suivi global des recettes — budget à saisir</t>
        </is>
      </c>
    </row>
    <row r="8" ht="20" customHeight="1">
      <c r="B8" s="129" t="inlineStr">
        <is>
          <t>5</t>
        </is>
      </c>
      <c r="C8" s="130" t="inlineStr">
        <is>
          <t>🟢 OK</t>
        </is>
      </c>
      <c r="D8" s="131" t="inlineStr">
        <is>
          <t>Activités de loisirs</t>
        </is>
      </c>
      <c r="E8" s="132">
        <f>'PLAN TRÉSO'!D29</f>
        <v/>
      </c>
      <c r="F8" s="132">
        <f>'PLAN TRÉSO'!E29</f>
        <v/>
      </c>
      <c r="G8" s="132">
        <f>'PLAN TRÉSO'!E29-'PLAN TRÉSO'!D29</f>
        <v/>
      </c>
      <c r="H8" s="133" t="inlineStr">
        <is>
          <t>Niveau de dépenses normal pour la saison</t>
        </is>
      </c>
    </row>
    <row r="9" ht="20" customHeight="1">
      <c r="B9" s="129" t="inlineStr">
        <is>
          <t>6</t>
        </is>
      </c>
      <c r="C9" s="130" t="inlineStr">
        <is>
          <t>🟢 OK</t>
        </is>
      </c>
      <c r="D9" s="131" t="inlineStr">
        <is>
          <t>Frais bancaires</t>
        </is>
      </c>
      <c r="E9" s="132">
        <f>'PLAN TRÉSO'!D42</f>
        <v/>
      </c>
      <c r="F9" s="132">
        <f>'PLAN TRÉSO'!E42</f>
        <v/>
      </c>
      <c r="G9" s="132">
        <f>'PLAN TRÉSO'!E42-'PLAN TRÉSO'!D42</f>
        <v/>
      </c>
      <c r="H9" s="133" t="inlineStr">
        <is>
          <t>Frais dans la norme pour un CSE PME</t>
        </is>
      </c>
    </row>
    <row r="10" ht="20" customHeight="1">
      <c r="B10" s="129" t="inlineStr">
        <is>
          <t>7</t>
        </is>
      </c>
      <c r="C10" s="130" t="inlineStr">
        <is>
          <t>🟢 OK</t>
        </is>
      </c>
      <c r="D10" s="131" t="inlineStr">
        <is>
          <t>Téléphone &amp; Internet</t>
        </is>
      </c>
      <c r="E10" s="132">
        <f>'PLAN TRÉSO'!D54</f>
        <v/>
      </c>
      <c r="F10" s="132">
        <f>'PLAN TRÉSO'!E54</f>
        <v/>
      </c>
      <c r="G10" s="132">
        <f>'PLAN TRÉSO'!E54-'PLAN TRÉSO'!D54</f>
        <v/>
      </c>
      <c r="H10" s="133" t="inlineStr">
        <is>
          <t>Abonnement régulier — comparer au budget N-1</t>
        </is>
      </c>
    </row>
    <row r="11" ht="20" customHeight="1">
      <c r="B11" s="124" t="inlineStr">
        <is>
          <t>8</t>
        </is>
      </c>
      <c r="C11" s="125" t="inlineStr">
        <is>
          <t>🔵 INFO</t>
        </is>
      </c>
      <c r="D11" s="126" t="inlineStr">
        <is>
          <t>Aides aux voyages</t>
        </is>
      </c>
      <c r="E11" s="127">
        <f>'PLAN TRÉSO'!D31</f>
        <v/>
      </c>
      <c r="F11" s="127">
        <f>'PLAN TRÉSO'!E31</f>
        <v/>
      </c>
      <c r="G11" s="127">
        <f>'PLAN TRÉSO'!E31-'PLAN TRÉSO'!D31</f>
        <v/>
      </c>
      <c r="H11" s="128" t="inlineStr">
        <is>
          <t>Budget décembre 2026 prévu : 12 000 € (Pennylane)</t>
        </is>
      </c>
    </row>
    <row r="14" ht="22" customHeight="1">
      <c r="B14" s="134" t="inlineStr">
        <is>
          <t>📌  COMMENT RÉDUIRE LES ALERTES</t>
        </is>
      </c>
    </row>
    <row r="15" ht="18" customHeight="1">
      <c r="B15" s="135" t="inlineStr">
        <is>
          <t>1. Renseignez le BUDGET annuel dans l'onglet BUDGET (colonne par mois)</t>
        </is>
      </c>
    </row>
    <row r="16" ht="18" customHeight="1">
      <c r="B16" s="136" t="inlineStr">
        <is>
          <t>2. Mettez à jour les données dans l'onglet RÉALISÉ après chaque export Pennylane</t>
        </is>
      </c>
    </row>
    <row r="17" ht="18" customHeight="1">
      <c r="B17" s="135" t="inlineStr">
        <is>
          <t>3. Vérifiez les écritures "non catégorisées" dans Pennylane et affectez-les aux bons codes analytiques</t>
        </is>
      </c>
    </row>
    <row r="18" ht="18" customHeight="1">
      <c r="B18" s="136" t="inlineStr">
        <is>
          <t>4. Pour les alertes 🔴 CRITIQUE : action immédiate requise du trésorier</t>
        </is>
      </c>
    </row>
  </sheetData>
  <mergeCells count="7">
    <mergeCell ref="B14:H14"/>
    <mergeCell ref="B17:H17"/>
    <mergeCell ref="B18:H18"/>
    <mergeCell ref="B1:H1"/>
    <mergeCell ref="B16:H16"/>
    <mergeCell ref="B2:H2"/>
    <mergeCell ref="B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60" customWidth="1" min="3" max="3"/>
    <col width="35" customWidth="1" min="4" max="4"/>
  </cols>
  <sheetData>
    <row r="1" ht="35" customHeight="1">
      <c r="B1" s="57" t="inlineStr">
        <is>
          <t>📖  MODE D'EMPLOI — COCKPIT CSE LIDL ENTZHEIM</t>
        </is>
      </c>
    </row>
    <row r="3" ht="25" customHeight="1">
      <c r="B3" s="137" t="inlineStr">
        <is>
          <t>🎯 OBJECTIF DE L'OUTIL</t>
        </is>
      </c>
    </row>
    <row r="4" ht="18" customHeight="1">
      <c r="B4" s="138" t="inlineStr">
        <is>
          <t>▸</t>
        </is>
      </c>
      <c r="C4" s="139" t="inlineStr">
        <is>
          <t>Cet outil de pilotage de trésorerie est conçu pour le CSE LIDL ENTZHEIM.</t>
        </is>
      </c>
      <c r="D4" s="140" t="inlineStr"/>
    </row>
    <row r="5" ht="18" customHeight="1">
      <c r="B5" s="138" t="inlineStr">
        <is>
          <t>▸</t>
        </is>
      </c>
      <c r="C5" s="139" t="inlineStr">
        <is>
          <t>Il permet de suivre en temps réel le budget vs réalisé par catégorie analytique,</t>
        </is>
      </c>
      <c r="D5" s="140" t="inlineStr"/>
    </row>
    <row r="6" ht="18" customHeight="1">
      <c r="B6" s="138" t="inlineStr">
        <is>
          <t>▸</t>
        </is>
      </c>
      <c r="C6" s="139" t="inlineStr">
        <is>
          <t>d'anticiper les dépassements et d'alimenter les réunions de commission économique.</t>
        </is>
      </c>
      <c r="D6" s="140" t="inlineStr"/>
    </row>
    <row r="7" ht="8" customHeight="1">
      <c r="B7" s="22" t="inlineStr"/>
    </row>
    <row r="8" ht="25" customHeight="1">
      <c r="B8" s="137" t="inlineStr">
        <is>
          <t>📥 MISE À JOUR MENSUELLE (Workflow)</t>
        </is>
      </c>
    </row>
    <row r="9" ht="18" customHeight="1">
      <c r="B9" s="138" t="inlineStr">
        <is>
          <t>▸</t>
        </is>
      </c>
      <c r="C9" s="139" t="inlineStr">
        <is>
          <t>1. Connectez-vous à Pennylane</t>
        </is>
      </c>
      <c r="D9" s="140" t="inlineStr">
        <is>
          <t>pennylane.com</t>
        </is>
      </c>
    </row>
    <row r="10" ht="18" customHeight="1">
      <c r="B10" s="138" t="inlineStr">
        <is>
          <t>▸</t>
        </is>
      </c>
      <c r="C10" s="139" t="inlineStr">
        <is>
          <t>2. Allez dans Gestion &gt; Plan de trésorerie</t>
        </is>
      </c>
      <c r="D10" s="140" t="inlineStr">
        <is>
          <t>Sélectionner la période exercice</t>
        </is>
      </c>
    </row>
    <row r="11" ht="18" customHeight="1">
      <c r="B11" s="138" t="inlineStr">
        <is>
          <t>▸</t>
        </is>
      </c>
      <c r="C11" s="139" t="inlineStr">
        <is>
          <t>3. Exportez l'onglet "Réalisé" (filtre : mois clos)</t>
        </is>
      </c>
      <c r="D11" s="140" t="inlineStr">
        <is>
          <t>Format Excel ou CSV</t>
        </is>
      </c>
    </row>
    <row r="12" ht="18" customHeight="1">
      <c r="B12" s="138" t="inlineStr">
        <is>
          <t>▸</t>
        </is>
      </c>
      <c r="C12" s="139" t="inlineStr">
        <is>
          <t>4. Copiez les valeurs dans l'onglet RÉALISÉ</t>
        </is>
      </c>
      <c r="D12" s="140" t="inlineStr">
        <is>
          <t>⚠ Coller valeurs uniquement (Ctrl+Maj+V)</t>
        </is>
      </c>
    </row>
    <row r="13" ht="18" customHeight="1">
      <c r="B13" s="138" t="inlineStr">
        <is>
          <t>▸</t>
        </is>
      </c>
      <c r="C13" s="139" t="inlineStr">
        <is>
          <t>5. Vérifiez que les catégories correspondent</t>
        </is>
      </c>
      <c r="D13" s="140" t="inlineStr">
        <is>
          <t>Si nouveau code analytique : ajouter une ligne</t>
        </is>
      </c>
    </row>
    <row r="14" ht="18" customHeight="1">
      <c r="B14" s="138" t="inlineStr">
        <is>
          <t>▸</t>
        </is>
      </c>
      <c r="C14" s="139" t="inlineStr">
        <is>
          <t>6. Consultez le COCKPIT pour le résumé</t>
        </is>
      </c>
      <c r="D14" s="140" t="inlineStr">
        <is>
          <t>Tableau auto-actualisé</t>
        </is>
      </c>
    </row>
    <row r="15" ht="8" customHeight="1">
      <c r="B15" s="22" t="inlineStr"/>
    </row>
    <row r="16" ht="25" customHeight="1">
      <c r="B16" s="137" t="inlineStr">
        <is>
          <t>💰 SAISIE DU BUDGET</t>
        </is>
      </c>
    </row>
    <row r="17" ht="18" customHeight="1">
      <c r="B17" s="138" t="inlineStr">
        <is>
          <t>▸</t>
        </is>
      </c>
      <c r="C17" s="139" t="inlineStr">
        <is>
          <t>Ouvrir l'onglet BUDGET</t>
        </is>
      </c>
      <c r="D17" s="140" t="inlineStr">
        <is>
          <t>Cellules bleues = à saisir</t>
        </is>
      </c>
    </row>
    <row r="18" ht="18" customHeight="1">
      <c r="B18" s="138" t="inlineStr">
        <is>
          <t>▸</t>
        </is>
      </c>
      <c r="C18" s="139" t="inlineStr">
        <is>
          <t>Saisir le budget mensuel pour chaque catégorie</t>
        </is>
      </c>
      <c r="D18" s="140" t="inlineStr">
        <is>
          <t>Valeurs en euros HT</t>
        </is>
      </c>
    </row>
    <row r="19" ht="18" customHeight="1">
      <c r="B19" s="138" t="inlineStr">
        <is>
          <t>▸</t>
        </is>
      </c>
      <c r="C19" s="139" t="inlineStr">
        <is>
          <t>Les totaux annuels se calculent automatiquement</t>
        </is>
      </c>
      <c r="D19" s="140" t="inlineStr">
        <is>
          <t>Colonne "Total Budget" à droite</t>
        </is>
      </c>
    </row>
    <row r="20" ht="18" customHeight="1">
      <c r="B20" s="138" t="inlineStr">
        <is>
          <t>▸</t>
        </is>
      </c>
      <c r="C20" s="139" t="inlineStr">
        <is>
          <t>Répéter chaque exercice (copier-coller le fichier</t>
        </is>
      </c>
      <c r="D20" s="140" t="inlineStr">
        <is>
          <t>Adapter les mois dans la ligne 3</t>
        </is>
      </c>
    </row>
    <row r="21" ht="8" customHeight="1">
      <c r="B21" s="22" t="inlineStr"/>
    </row>
    <row r="22" ht="25" customHeight="1">
      <c r="B22" s="137" t="inlineStr">
        <is>
          <t>📊 LECTURE DU COCKPIT</t>
        </is>
      </c>
    </row>
    <row r="23" ht="18" customHeight="1">
      <c r="B23" s="138" t="inlineStr">
        <is>
          <t>▸</t>
        </is>
      </c>
      <c r="C23" s="139" t="inlineStr">
        <is>
          <t>🟢 OK : Réalisé &lt; 90% du budget → dans les clous</t>
        </is>
      </c>
      <c r="D23" s="140" t="inlineStr"/>
    </row>
    <row r="24" ht="18" customHeight="1">
      <c r="B24" s="138" t="inlineStr">
        <is>
          <t>▸</t>
        </is>
      </c>
      <c r="C24" s="139" t="inlineStr">
        <is>
          <t>🟠 Attention : Réalisé entre 90% et 110% du budget</t>
        </is>
      </c>
      <c r="D24" s="140" t="inlineStr">
        <is>
          <t>Surveiller le mois suivant</t>
        </is>
      </c>
    </row>
    <row r="25" ht="18" customHeight="1">
      <c r="B25" s="138" t="inlineStr">
        <is>
          <t>▸</t>
        </is>
      </c>
      <c r="C25" s="139" t="inlineStr">
        <is>
          <t>🔴 Dépassé : Réalisé &gt; 110% du budget</t>
        </is>
      </c>
      <c r="D25" s="140" t="inlineStr">
        <is>
          <t>Action requise : régularisation ou révision</t>
        </is>
      </c>
    </row>
    <row r="26" ht="18" customHeight="1">
      <c r="B26" s="138" t="inlineStr">
        <is>
          <t>▸</t>
        </is>
      </c>
      <c r="C26" s="139" t="inlineStr">
        <is>
          <t>🔵 En cours : Budget &gt; 0 mais peu consommé</t>
        </is>
      </c>
      <c r="D26" s="140" t="inlineStr">
        <is>
          <t>Normal en début d'exercice</t>
        </is>
      </c>
    </row>
    <row r="27" ht="18" customHeight="1">
      <c r="B27" s="138" t="inlineStr">
        <is>
          <t>▸</t>
        </is>
      </c>
      <c r="C27" s="139" t="inlineStr">
        <is>
          <t>— : Pas de budget saisi pour cette catégorie</t>
        </is>
      </c>
      <c r="D27" s="140" t="inlineStr">
        <is>
          <t>Compléter l'onglet BUDGET</t>
        </is>
      </c>
    </row>
    <row r="28" ht="8" customHeight="1">
      <c r="B28" s="22" t="inlineStr"/>
    </row>
    <row r="29" ht="25" customHeight="1">
      <c r="B29" s="137" t="inlineStr">
        <is>
          <t>⚠️ POINTS D'ATTENTION</t>
        </is>
      </c>
    </row>
    <row r="30" ht="18" customHeight="1">
      <c r="B30" s="138" t="inlineStr">
        <is>
          <t>▸</t>
        </is>
      </c>
      <c r="C30" s="139" t="inlineStr">
        <is>
          <t>"Sorties non catégorisées" élevées : 59 097 € sur 4 mois</t>
        </is>
      </c>
      <c r="D30" s="140" t="inlineStr">
        <is>
          <t>Ventiler dans Pennylane</t>
        </is>
      </c>
    </row>
    <row r="31" ht="18" customHeight="1">
      <c r="B31" s="138" t="inlineStr">
        <is>
          <t>▸</t>
        </is>
      </c>
      <c r="C31" s="139" t="inlineStr">
        <is>
          <t>"Achat Billets" en négatif : remboursements &gt; achats</t>
        </is>
      </c>
      <c r="D31" s="140" t="inlineStr">
        <is>
          <t>Vérifier le solde net</t>
        </is>
      </c>
    </row>
    <row r="32" ht="18" customHeight="1">
      <c r="B32" s="138" t="inlineStr">
        <is>
          <t>▸</t>
        </is>
      </c>
      <c r="C32" s="139" t="inlineStr">
        <is>
          <t>Budget Pennylane quasi-vide : saisir le budget dans l'onglet BUDGET</t>
        </is>
      </c>
      <c r="D32" s="140" t="inlineStr"/>
    </row>
    <row r="33" ht="18" customHeight="1">
      <c r="B33" s="138" t="inlineStr">
        <is>
          <t>▸</t>
        </is>
      </c>
      <c r="C33" s="139" t="inlineStr">
        <is>
          <t>Trésorerie stable à 470 455 € depuis Juin → pas de risque court terme</t>
        </is>
      </c>
      <c r="D33" s="140" t="inlineStr"/>
    </row>
    <row r="34" ht="8" customHeight="1">
      <c r="B34" s="22" t="inlineStr"/>
    </row>
    <row r="35" ht="25" customHeight="1">
      <c r="B35" s="137" t="inlineStr">
        <is>
          <t>🔄 MISE À JOUR DE L'OUTIL</t>
        </is>
      </c>
    </row>
    <row r="36" ht="18" customHeight="1">
      <c r="B36" s="138" t="inlineStr">
        <is>
          <t>▸</t>
        </is>
      </c>
      <c r="C36" s="139" t="inlineStr">
        <is>
          <t>Renommer le fichier avec la date : COCKPIT_CSE_YYYY_MM.xlsx</t>
        </is>
      </c>
      <c r="D36" s="140" t="inlineStr"/>
    </row>
    <row r="37" ht="18" customHeight="1">
      <c r="B37" s="138" t="inlineStr">
        <is>
          <t>▸</t>
        </is>
      </c>
      <c r="C37" s="139" t="inlineStr">
        <is>
          <t>Archiver la version précédente dans un dossier /Archives/</t>
        </is>
      </c>
      <c r="D37" s="140" t="inlineStr"/>
    </row>
    <row r="38" ht="18" customHeight="1">
      <c r="B38" s="138" t="inlineStr">
        <is>
          <t>▸</t>
        </is>
      </c>
      <c r="C38" s="139" t="inlineStr">
        <is>
          <t>En fin d'exercice (Fév 2027) : dupliquer et créer le budget N+1</t>
        </is>
      </c>
      <c r="D38" s="140" t="inlineStr"/>
    </row>
    <row r="39" ht="8" customHeight="1">
      <c r="B39" s="22" t="inlineStr"/>
    </row>
  </sheetData>
  <mergeCells count="13">
    <mergeCell ref="B28:D28"/>
    <mergeCell ref="B3:D3"/>
    <mergeCell ref="B29:D29"/>
    <mergeCell ref="B1:D1"/>
    <mergeCell ref="B8:D8"/>
    <mergeCell ref="B22:D22"/>
    <mergeCell ref="B35:D35"/>
    <mergeCell ref="B21:D21"/>
    <mergeCell ref="B39:D39"/>
    <mergeCell ref="B15:D15"/>
    <mergeCell ref="B7:D7"/>
    <mergeCell ref="B16:D16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2026-06-09T20:52:53Z</dcterms:created>
  <dcterms:modified xmlns:dcterms="http://purl.org/dc/terms/" xmlns:xsi="http://www.w3.org/2001/XMLSchema-instance" xsi:type="dcterms:W3CDTF">2026-06-09T20:52:53Z</dcterms:modified>
</cp:coreProperties>
</file>